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esktop\Thesis Xheni\"/>
    </mc:Choice>
  </mc:AlternateContent>
  <xr:revisionPtr revIDLastSave="0" documentId="13_ncr:1_{9B5E94E3-7030-40A8-929D-DB9FEC90AD29}" xr6:coauthVersionLast="47" xr6:coauthVersionMax="47" xr10:uidLastSave="{00000000-0000-0000-0000-000000000000}"/>
  <bookViews>
    <workbookView xWindow="-108" yWindow="-108" windowWidth="23256" windowHeight="12456" firstSheet="7" activeTab="10" xr2:uid="{00000000-000D-0000-FFFF-FFFF00000000}"/>
  </bookViews>
  <sheets>
    <sheet name="Raw Data" sheetId="1" r:id="rId1"/>
    <sheet name="Lists" sheetId="2" r:id="rId2"/>
    <sheet name="Analysis Data" sheetId="3" r:id="rId3"/>
    <sheet name="Dashboard" sheetId="4" r:id="rId4"/>
    <sheet name="Primary Themes" sheetId="5" r:id="rId5"/>
    <sheet name="Secondary Themes" sheetId="6" r:id="rId6"/>
    <sheet name="Marketing Approaches" sheetId="7" r:id="rId7"/>
    <sheet name="Format and CTA" sheetId="8" r:id="rId8"/>
    <sheet name="Monthly Patterns" sheetId="9" r:id="rId9"/>
    <sheet name="Institutional Profiles" sheetId="10" r:id="rId10"/>
    <sheet name="Account Snapshot" sheetId="11" r:id="rId11"/>
    <sheet name="Data Audit" sheetId="12" r:id="rId12"/>
    <sheet name="Revision Audit" sheetId="13" r:id="rId13"/>
    <sheet name="Codebook"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6" l="1"/>
  <c r="G9" i="6"/>
  <c r="H9" i="6" s="1"/>
  <c r="K9" i="4"/>
  <c r="K30" i="4"/>
  <c r="C18" i="8"/>
  <c r="H5" i="5"/>
  <c r="B23" i="12"/>
  <c r="B22" i="12"/>
  <c r="B21" i="12"/>
  <c r="D21" i="12" s="1"/>
  <c r="D20" i="12"/>
  <c r="B20" i="12"/>
  <c r="B19" i="12"/>
  <c r="B12" i="12"/>
  <c r="D12" i="12" s="1"/>
  <c r="B11" i="12"/>
  <c r="D11" i="12" s="1"/>
  <c r="B5" i="12"/>
  <c r="D5" i="12" s="1"/>
  <c r="B22" i="8"/>
  <c r="C22" i="8" s="1"/>
  <c r="B21" i="8"/>
  <c r="C21" i="8" s="1"/>
  <c r="B20" i="8"/>
  <c r="C20" i="8" s="1"/>
  <c r="B19" i="8"/>
  <c r="C19" i="8" s="1"/>
  <c r="B18" i="8"/>
  <c r="F13" i="8"/>
  <c r="E13" i="8"/>
  <c r="D13" i="8"/>
  <c r="C13" i="8"/>
  <c r="G13" i="8" s="1"/>
  <c r="H13" i="8" s="1"/>
  <c r="B13" i="8"/>
  <c r="F12" i="8"/>
  <c r="E12" i="8"/>
  <c r="D12" i="8"/>
  <c r="C12" i="8"/>
  <c r="B12" i="8"/>
  <c r="G12" i="8" s="1"/>
  <c r="H12" i="8" s="1"/>
  <c r="F7" i="8"/>
  <c r="E7" i="8"/>
  <c r="D7" i="8"/>
  <c r="C7" i="8"/>
  <c r="G7" i="8" s="1"/>
  <c r="H7" i="8" s="1"/>
  <c r="B7" i="8"/>
  <c r="F6" i="8"/>
  <c r="E6" i="8"/>
  <c r="D6" i="8"/>
  <c r="C6" i="8"/>
  <c r="B6" i="8"/>
  <c r="G6" i="8" s="1"/>
  <c r="H6" i="8" s="1"/>
  <c r="G5" i="8"/>
  <c r="H5" i="8" s="1"/>
  <c r="F5" i="8"/>
  <c r="E5" i="8"/>
  <c r="D5" i="8"/>
  <c r="C5" i="8"/>
  <c r="B5" i="8"/>
  <c r="F12" i="7"/>
  <c r="E12" i="7"/>
  <c r="D12" i="7"/>
  <c r="C12" i="7"/>
  <c r="B12" i="7"/>
  <c r="G12" i="7" s="1"/>
  <c r="H12" i="7" s="1"/>
  <c r="F11" i="7"/>
  <c r="E11" i="7"/>
  <c r="D11" i="7"/>
  <c r="C11" i="7"/>
  <c r="G11" i="7" s="1"/>
  <c r="H11" i="7" s="1"/>
  <c r="B11" i="7"/>
  <c r="F10" i="7"/>
  <c r="E10" i="7"/>
  <c r="D10" i="7"/>
  <c r="C10" i="7"/>
  <c r="B10" i="7"/>
  <c r="G10" i="7" s="1"/>
  <c r="H10" i="7" s="1"/>
  <c r="F9" i="7"/>
  <c r="E9" i="7"/>
  <c r="D9" i="7"/>
  <c r="C9" i="7"/>
  <c r="G9" i="7" s="1"/>
  <c r="H9" i="7" s="1"/>
  <c r="B9" i="7"/>
  <c r="F8" i="7"/>
  <c r="E8" i="7"/>
  <c r="D8" i="7"/>
  <c r="C8" i="7"/>
  <c r="B8" i="7"/>
  <c r="G8" i="7" s="1"/>
  <c r="H8" i="7" s="1"/>
  <c r="F7" i="7"/>
  <c r="E7" i="7"/>
  <c r="D7" i="7"/>
  <c r="C7" i="7"/>
  <c r="G7" i="7" s="1"/>
  <c r="H7" i="7" s="1"/>
  <c r="B7" i="7"/>
  <c r="F6" i="7"/>
  <c r="E6" i="7"/>
  <c r="D6" i="7"/>
  <c r="C6" i="7"/>
  <c r="B6" i="7"/>
  <c r="G6" i="7" s="1"/>
  <c r="H6" i="7" s="1"/>
  <c r="G5" i="7"/>
  <c r="H5" i="7" s="1"/>
  <c r="F5" i="7"/>
  <c r="E5" i="7"/>
  <c r="D5" i="7"/>
  <c r="C5" i="7"/>
  <c r="B5" i="7"/>
  <c r="D34" i="6"/>
  <c r="C34" i="6"/>
  <c r="D33" i="6"/>
  <c r="C33" i="6"/>
  <c r="D32" i="6"/>
  <c r="C32" i="6"/>
  <c r="D31" i="6"/>
  <c r="C31" i="6"/>
  <c r="D30" i="6"/>
  <c r="C30" i="6"/>
  <c r="D29" i="6"/>
  <c r="C29" i="6"/>
  <c r="D28" i="6"/>
  <c r="C28" i="6"/>
  <c r="D27" i="6"/>
  <c r="C27" i="6"/>
  <c r="D26" i="6"/>
  <c r="C26" i="6"/>
  <c r="D25" i="6"/>
  <c r="C25" i="6"/>
  <c r="F20" i="6"/>
  <c r="E20" i="6"/>
  <c r="D20" i="6"/>
  <c r="C20" i="6"/>
  <c r="B20" i="6"/>
  <c r="G20" i="6" s="1"/>
  <c r="H20" i="6" s="1"/>
  <c r="F19" i="6"/>
  <c r="E19" i="6"/>
  <c r="D19" i="6"/>
  <c r="C19" i="6"/>
  <c r="G19" i="6" s="1"/>
  <c r="H19" i="6" s="1"/>
  <c r="B19" i="6"/>
  <c r="F18" i="6"/>
  <c r="E18" i="6"/>
  <c r="D18" i="6"/>
  <c r="C18" i="6"/>
  <c r="B18" i="6"/>
  <c r="G18" i="6" s="1"/>
  <c r="H18" i="6" s="1"/>
  <c r="G17" i="6"/>
  <c r="H17" i="6" s="1"/>
  <c r="F17" i="6"/>
  <c r="E17" i="6"/>
  <c r="D17" i="6"/>
  <c r="C17" i="6"/>
  <c r="B17" i="6"/>
  <c r="F16" i="6"/>
  <c r="E16" i="6"/>
  <c r="D16" i="6"/>
  <c r="C16" i="6"/>
  <c r="B16" i="6"/>
  <c r="G16" i="6" s="1"/>
  <c r="H16" i="6" s="1"/>
  <c r="F15" i="6"/>
  <c r="E15" i="6"/>
  <c r="D15" i="6"/>
  <c r="C15" i="6"/>
  <c r="G15" i="6" s="1"/>
  <c r="H15" i="6" s="1"/>
  <c r="B15" i="6"/>
  <c r="F14" i="6"/>
  <c r="E14" i="6"/>
  <c r="D14" i="6"/>
  <c r="C14" i="6"/>
  <c r="B14" i="6"/>
  <c r="G14" i="6" s="1"/>
  <c r="H14" i="6" s="1"/>
  <c r="F13" i="6"/>
  <c r="E13" i="6"/>
  <c r="D13" i="6"/>
  <c r="C13" i="6"/>
  <c r="G13" i="6" s="1"/>
  <c r="H13" i="6" s="1"/>
  <c r="B13" i="6"/>
  <c r="F12" i="6"/>
  <c r="E12" i="6"/>
  <c r="D12" i="6"/>
  <c r="C12" i="6"/>
  <c r="B12" i="6"/>
  <c r="G12" i="6" s="1"/>
  <c r="H12" i="6" s="1"/>
  <c r="F11" i="6"/>
  <c r="E11" i="6"/>
  <c r="D11" i="6"/>
  <c r="C11" i="6"/>
  <c r="G11" i="6" s="1"/>
  <c r="H11" i="6" s="1"/>
  <c r="B11" i="6"/>
  <c r="F10" i="6"/>
  <c r="E10" i="6"/>
  <c r="D10" i="6"/>
  <c r="C10" i="6"/>
  <c r="B10" i="6"/>
  <c r="G10" i="6" s="1"/>
  <c r="H10" i="6" s="1"/>
  <c r="F9" i="6"/>
  <c r="E9" i="6"/>
  <c r="D9" i="6"/>
  <c r="C9" i="6"/>
  <c r="F8" i="6"/>
  <c r="E8" i="6"/>
  <c r="D8" i="6"/>
  <c r="C8" i="6"/>
  <c r="B8" i="6"/>
  <c r="G8" i="6" s="1"/>
  <c r="H8" i="6" s="1"/>
  <c r="F7" i="6"/>
  <c r="E7" i="6"/>
  <c r="D7" i="6"/>
  <c r="C7" i="6"/>
  <c r="G7" i="6" s="1"/>
  <c r="H7" i="6" s="1"/>
  <c r="B7" i="6"/>
  <c r="F6" i="6"/>
  <c r="E6" i="6"/>
  <c r="D6" i="6"/>
  <c r="C6" i="6"/>
  <c r="B6" i="6"/>
  <c r="G6" i="6" s="1"/>
  <c r="H6" i="6" s="1"/>
  <c r="F5" i="6"/>
  <c r="E5" i="6"/>
  <c r="D5" i="6"/>
  <c r="C5" i="6"/>
  <c r="G5" i="6" s="1"/>
  <c r="B5" i="6"/>
  <c r="F19" i="5"/>
  <c r="E19" i="5"/>
  <c r="D19" i="5"/>
  <c r="C19" i="5"/>
  <c r="B19" i="5"/>
  <c r="G19" i="5" s="1"/>
  <c r="H19" i="5" s="1"/>
  <c r="G18" i="5"/>
  <c r="H18" i="5" s="1"/>
  <c r="F18" i="5"/>
  <c r="E18" i="5"/>
  <c r="D18" i="5"/>
  <c r="C18" i="5"/>
  <c r="B18" i="5"/>
  <c r="F17" i="5"/>
  <c r="E17" i="5"/>
  <c r="D17" i="5"/>
  <c r="C17" i="5"/>
  <c r="B17" i="5"/>
  <c r="G17" i="5" s="1"/>
  <c r="H17" i="5" s="1"/>
  <c r="F16" i="5"/>
  <c r="E16" i="5"/>
  <c r="D16" i="5"/>
  <c r="C16" i="5"/>
  <c r="G16" i="5" s="1"/>
  <c r="H16" i="5" s="1"/>
  <c r="B16" i="5"/>
  <c r="F15" i="5"/>
  <c r="E15" i="5"/>
  <c r="D15" i="5"/>
  <c r="C15" i="5"/>
  <c r="B15" i="5"/>
  <c r="G15" i="5" s="1"/>
  <c r="H15" i="5" s="1"/>
  <c r="F14" i="5"/>
  <c r="E14" i="5"/>
  <c r="D14" i="5"/>
  <c r="C14" i="5"/>
  <c r="G14" i="5" s="1"/>
  <c r="H14" i="5" s="1"/>
  <c r="B14" i="5"/>
  <c r="F13" i="5"/>
  <c r="E13" i="5"/>
  <c r="D13" i="5"/>
  <c r="C13" i="5"/>
  <c r="B13" i="5"/>
  <c r="G13" i="5" s="1"/>
  <c r="H13" i="5" s="1"/>
  <c r="F12" i="5"/>
  <c r="E12" i="5"/>
  <c r="D12" i="5"/>
  <c r="C12" i="5"/>
  <c r="G12" i="5" s="1"/>
  <c r="H12" i="5" s="1"/>
  <c r="B12" i="5"/>
  <c r="F11" i="5"/>
  <c r="E11" i="5"/>
  <c r="D11" i="5"/>
  <c r="C11" i="5"/>
  <c r="B11" i="5"/>
  <c r="G11" i="5" s="1"/>
  <c r="H11" i="5" s="1"/>
  <c r="G10" i="5"/>
  <c r="H10" i="5" s="1"/>
  <c r="F10" i="5"/>
  <c r="E10" i="5"/>
  <c r="D10" i="5"/>
  <c r="C10" i="5"/>
  <c r="B10" i="5"/>
  <c r="F9" i="5"/>
  <c r="E9" i="5"/>
  <c r="D9" i="5"/>
  <c r="C9" i="5"/>
  <c r="B9" i="5"/>
  <c r="G9" i="5" s="1"/>
  <c r="H9" i="5" s="1"/>
  <c r="F8" i="5"/>
  <c r="E8" i="5"/>
  <c r="D8" i="5"/>
  <c r="C8" i="5"/>
  <c r="G8" i="5" s="1"/>
  <c r="H8" i="5" s="1"/>
  <c r="B8" i="5"/>
  <c r="F7" i="5"/>
  <c r="E7" i="5"/>
  <c r="D7" i="5"/>
  <c r="C7" i="5"/>
  <c r="B7" i="5"/>
  <c r="G7" i="5" s="1"/>
  <c r="H7" i="5" s="1"/>
  <c r="F6" i="5"/>
  <c r="E6" i="5"/>
  <c r="D6" i="5"/>
  <c r="C6" i="5"/>
  <c r="G6" i="5" s="1"/>
  <c r="H6" i="5" s="1"/>
  <c r="B6" i="5"/>
  <c r="F5" i="5"/>
  <c r="E5" i="5"/>
  <c r="D5" i="5"/>
  <c r="C5" i="5"/>
  <c r="B5" i="5"/>
  <c r="G5" i="5" s="1"/>
  <c r="K34" i="4"/>
  <c r="K33" i="4"/>
  <c r="K32" i="4"/>
  <c r="K31" i="4"/>
  <c r="M26" i="4"/>
  <c r="L26" i="4"/>
  <c r="K26" i="4"/>
  <c r="M25" i="4"/>
  <c r="L25" i="4"/>
  <c r="K25" i="4"/>
  <c r="M24" i="4"/>
  <c r="L24" i="4"/>
  <c r="K24" i="4"/>
  <c r="M23" i="4"/>
  <c r="L23" i="4"/>
  <c r="K23" i="4"/>
  <c r="M22" i="4"/>
  <c r="L22" i="4"/>
  <c r="K22" i="4"/>
  <c r="F11" i="4"/>
  <c r="D11" i="4"/>
  <c r="F7" i="4"/>
  <c r="D7" i="4"/>
  <c r="V181" i="3"/>
  <c r="U181" i="3"/>
  <c r="T181" i="3"/>
  <c r="S181" i="3"/>
  <c r="R181" i="3"/>
  <c r="Q181" i="3"/>
  <c r="P181" i="3"/>
  <c r="V180" i="3"/>
  <c r="T180" i="3"/>
  <c r="S180" i="3"/>
  <c r="R180" i="3"/>
  <c r="Q180" i="3"/>
  <c r="P180" i="3"/>
  <c r="E180" i="3"/>
  <c r="D180" i="3"/>
  <c r="U180" i="3" s="1"/>
  <c r="V179" i="3"/>
  <c r="U179" i="3"/>
  <c r="T179" i="3"/>
  <c r="S179" i="3"/>
  <c r="R179" i="3"/>
  <c r="Q179" i="3"/>
  <c r="P179" i="3"/>
  <c r="V178" i="3"/>
  <c r="T178" i="3"/>
  <c r="S178" i="3"/>
  <c r="R178" i="3"/>
  <c r="Q178" i="3"/>
  <c r="P178" i="3"/>
  <c r="E178" i="3"/>
  <c r="D178" i="3"/>
  <c r="U178" i="3" s="1"/>
  <c r="V177" i="3"/>
  <c r="U177" i="3"/>
  <c r="T177" i="3"/>
  <c r="S177" i="3"/>
  <c r="R177" i="3"/>
  <c r="Q177" i="3"/>
  <c r="P177" i="3"/>
  <c r="V176" i="3"/>
  <c r="U176" i="3"/>
  <c r="T176" i="3"/>
  <c r="S176" i="3"/>
  <c r="R176" i="3"/>
  <c r="Q176" i="3"/>
  <c r="P176" i="3"/>
  <c r="V175" i="3"/>
  <c r="U175" i="3"/>
  <c r="T175" i="3"/>
  <c r="S175" i="3"/>
  <c r="R175" i="3"/>
  <c r="Q175" i="3"/>
  <c r="P175" i="3"/>
  <c r="V174" i="3"/>
  <c r="U174" i="3"/>
  <c r="T174" i="3"/>
  <c r="S174" i="3"/>
  <c r="R174" i="3"/>
  <c r="Q174" i="3"/>
  <c r="P174" i="3"/>
  <c r="V173" i="3"/>
  <c r="U173" i="3"/>
  <c r="T173" i="3"/>
  <c r="S173" i="3"/>
  <c r="R173" i="3"/>
  <c r="Q173" i="3"/>
  <c r="P173" i="3"/>
  <c r="V172" i="3"/>
  <c r="U172" i="3"/>
  <c r="T172" i="3"/>
  <c r="S172" i="3"/>
  <c r="R172" i="3"/>
  <c r="Q172" i="3"/>
  <c r="P172" i="3"/>
  <c r="V171" i="3"/>
  <c r="U171" i="3"/>
  <c r="T171" i="3"/>
  <c r="S171" i="3"/>
  <c r="R171" i="3"/>
  <c r="Q171" i="3"/>
  <c r="P171" i="3"/>
  <c r="V170" i="3"/>
  <c r="U170" i="3"/>
  <c r="T170" i="3"/>
  <c r="S170" i="3"/>
  <c r="R170" i="3"/>
  <c r="Q170" i="3"/>
  <c r="P170" i="3"/>
  <c r="V169" i="3"/>
  <c r="U169" i="3"/>
  <c r="T169" i="3"/>
  <c r="S169" i="3"/>
  <c r="R169" i="3"/>
  <c r="Q169" i="3"/>
  <c r="P169" i="3"/>
  <c r="V168" i="3"/>
  <c r="U168" i="3"/>
  <c r="T168" i="3"/>
  <c r="S168" i="3"/>
  <c r="R168" i="3"/>
  <c r="Q168" i="3"/>
  <c r="P168" i="3"/>
  <c r="V167" i="3"/>
  <c r="U167" i="3"/>
  <c r="T167" i="3"/>
  <c r="S167" i="3"/>
  <c r="R167" i="3"/>
  <c r="Q167" i="3"/>
  <c r="P167" i="3"/>
  <c r="V166" i="3"/>
  <c r="U166" i="3"/>
  <c r="T166" i="3"/>
  <c r="S166" i="3"/>
  <c r="R166" i="3"/>
  <c r="Q166" i="3"/>
  <c r="P166" i="3"/>
  <c r="V165" i="3"/>
  <c r="U165" i="3"/>
  <c r="T165" i="3"/>
  <c r="S165" i="3"/>
  <c r="R165" i="3"/>
  <c r="Q165" i="3"/>
  <c r="P165" i="3"/>
  <c r="V164" i="3"/>
  <c r="U164" i="3"/>
  <c r="T164" i="3"/>
  <c r="S164" i="3"/>
  <c r="R164" i="3"/>
  <c r="Q164" i="3"/>
  <c r="P164" i="3"/>
  <c r="V163" i="3"/>
  <c r="U163" i="3"/>
  <c r="T163" i="3"/>
  <c r="S163" i="3"/>
  <c r="R163" i="3"/>
  <c r="Q163" i="3"/>
  <c r="P163" i="3"/>
  <c r="V162" i="3"/>
  <c r="U162" i="3"/>
  <c r="T162" i="3"/>
  <c r="S162" i="3"/>
  <c r="R162" i="3"/>
  <c r="Q162" i="3"/>
  <c r="P162" i="3"/>
  <c r="V161" i="3"/>
  <c r="U161" i="3"/>
  <c r="T161" i="3"/>
  <c r="S161" i="3"/>
  <c r="R161" i="3"/>
  <c r="Q161" i="3"/>
  <c r="P161" i="3"/>
  <c r="V160" i="3"/>
  <c r="U160" i="3"/>
  <c r="T160" i="3"/>
  <c r="S160" i="3"/>
  <c r="R160" i="3"/>
  <c r="Q160" i="3"/>
  <c r="P160" i="3"/>
  <c r="V159" i="3"/>
  <c r="U159" i="3"/>
  <c r="T159" i="3"/>
  <c r="S159" i="3"/>
  <c r="R159" i="3"/>
  <c r="Q159" i="3"/>
  <c r="P159" i="3"/>
  <c r="V158" i="3"/>
  <c r="U158" i="3"/>
  <c r="T158" i="3"/>
  <c r="S158" i="3"/>
  <c r="R158" i="3"/>
  <c r="Q158" i="3"/>
  <c r="P158" i="3"/>
  <c r="V157" i="3"/>
  <c r="U157" i="3"/>
  <c r="T157" i="3"/>
  <c r="S157" i="3"/>
  <c r="R157" i="3"/>
  <c r="Q157" i="3"/>
  <c r="P157" i="3"/>
  <c r="V156" i="3"/>
  <c r="U156" i="3"/>
  <c r="T156" i="3"/>
  <c r="S156" i="3"/>
  <c r="R156" i="3"/>
  <c r="Q156" i="3"/>
  <c r="P156" i="3"/>
  <c r="V155" i="3"/>
  <c r="U155" i="3"/>
  <c r="T155" i="3"/>
  <c r="S155" i="3"/>
  <c r="R155" i="3"/>
  <c r="Q155" i="3"/>
  <c r="P155" i="3"/>
  <c r="V154" i="3"/>
  <c r="U154" i="3"/>
  <c r="T154" i="3"/>
  <c r="S154" i="3"/>
  <c r="R154" i="3"/>
  <c r="Q154" i="3"/>
  <c r="P154" i="3"/>
  <c r="V153" i="3"/>
  <c r="U153" i="3"/>
  <c r="T153" i="3"/>
  <c r="S153" i="3"/>
  <c r="R153" i="3"/>
  <c r="Q153" i="3"/>
  <c r="P153" i="3"/>
  <c r="V152" i="3"/>
  <c r="U152" i="3"/>
  <c r="T152" i="3"/>
  <c r="S152" i="3"/>
  <c r="R152" i="3"/>
  <c r="Q152" i="3"/>
  <c r="P152" i="3"/>
  <c r="V151" i="3"/>
  <c r="U151" i="3"/>
  <c r="T151" i="3"/>
  <c r="S151" i="3"/>
  <c r="R151" i="3"/>
  <c r="Q151" i="3"/>
  <c r="P151" i="3"/>
  <c r="V150" i="3"/>
  <c r="U150" i="3"/>
  <c r="T150" i="3"/>
  <c r="S150" i="3"/>
  <c r="R150" i="3"/>
  <c r="Q150" i="3"/>
  <c r="P150" i="3"/>
  <c r="V149" i="3"/>
  <c r="U149" i="3"/>
  <c r="T149" i="3"/>
  <c r="S149" i="3"/>
  <c r="R149" i="3"/>
  <c r="Q149" i="3"/>
  <c r="P149" i="3"/>
  <c r="V148" i="3"/>
  <c r="U148" i="3"/>
  <c r="T148" i="3"/>
  <c r="S148" i="3"/>
  <c r="R148" i="3"/>
  <c r="Q148" i="3"/>
  <c r="P148" i="3"/>
  <c r="V147" i="3"/>
  <c r="U147" i="3"/>
  <c r="T147" i="3"/>
  <c r="S147" i="3"/>
  <c r="R147" i="3"/>
  <c r="Q147" i="3"/>
  <c r="P147" i="3"/>
  <c r="V146" i="3"/>
  <c r="T146" i="3"/>
  <c r="S146" i="3"/>
  <c r="R146" i="3"/>
  <c r="M18" i="4" s="1"/>
  <c r="Q146" i="3"/>
  <c r="P146" i="3"/>
  <c r="K10" i="4" s="1"/>
  <c r="E146" i="3"/>
  <c r="F23" i="12" s="1"/>
  <c r="D146" i="3"/>
  <c r="M32" i="12" s="1"/>
  <c r="V145" i="3"/>
  <c r="T145" i="3"/>
  <c r="S145" i="3"/>
  <c r="R145" i="3"/>
  <c r="Q145" i="3"/>
  <c r="P145" i="3"/>
  <c r="E145" i="3"/>
  <c r="D145" i="3"/>
  <c r="U145" i="3" s="1"/>
  <c r="V144" i="3"/>
  <c r="T144" i="3"/>
  <c r="S144" i="3"/>
  <c r="R144" i="3"/>
  <c r="Q144" i="3"/>
  <c r="P144" i="3"/>
  <c r="E144" i="3"/>
  <c r="D144" i="3"/>
  <c r="U144" i="3" s="1"/>
  <c r="V143" i="3"/>
  <c r="U143" i="3"/>
  <c r="T143" i="3"/>
  <c r="S143" i="3"/>
  <c r="R143" i="3"/>
  <c r="Q143" i="3"/>
  <c r="P143" i="3"/>
  <c r="V142" i="3"/>
  <c r="U142" i="3"/>
  <c r="T142" i="3"/>
  <c r="S142" i="3"/>
  <c r="R142" i="3"/>
  <c r="Q142" i="3"/>
  <c r="P142" i="3"/>
  <c r="V141" i="3"/>
  <c r="U141" i="3"/>
  <c r="T141" i="3"/>
  <c r="S141" i="3"/>
  <c r="R141" i="3"/>
  <c r="Q141" i="3"/>
  <c r="P141" i="3"/>
  <c r="V140" i="3"/>
  <c r="U140" i="3"/>
  <c r="T140" i="3"/>
  <c r="S140" i="3"/>
  <c r="R140" i="3"/>
  <c r="Q140" i="3"/>
  <c r="P140" i="3"/>
  <c r="V139" i="3"/>
  <c r="U139" i="3"/>
  <c r="T139" i="3"/>
  <c r="S139" i="3"/>
  <c r="R139" i="3"/>
  <c r="Q139" i="3"/>
  <c r="P139" i="3"/>
  <c r="V138" i="3"/>
  <c r="U138" i="3"/>
  <c r="T138" i="3"/>
  <c r="S138" i="3"/>
  <c r="R138" i="3"/>
  <c r="Q138" i="3"/>
  <c r="P138" i="3"/>
  <c r="V137" i="3"/>
  <c r="U137" i="3"/>
  <c r="T137" i="3"/>
  <c r="S137" i="3"/>
  <c r="R137" i="3"/>
  <c r="Q137" i="3"/>
  <c r="P137" i="3"/>
  <c r="V136" i="3"/>
  <c r="U136" i="3"/>
  <c r="T136" i="3"/>
  <c r="S136" i="3"/>
  <c r="R136" i="3"/>
  <c r="Q136" i="3"/>
  <c r="P136" i="3"/>
  <c r="V135" i="3"/>
  <c r="U135" i="3"/>
  <c r="T135" i="3"/>
  <c r="S135" i="3"/>
  <c r="R135" i="3"/>
  <c r="Q135" i="3"/>
  <c r="P135" i="3"/>
  <c r="V134" i="3"/>
  <c r="T134" i="3"/>
  <c r="S134" i="3"/>
  <c r="R134" i="3"/>
  <c r="Q134" i="3"/>
  <c r="P134" i="3"/>
  <c r="E134" i="3"/>
  <c r="D134" i="3"/>
  <c r="U134" i="3" s="1"/>
  <c r="V133" i="3"/>
  <c r="U133" i="3"/>
  <c r="T133" i="3"/>
  <c r="S133" i="3"/>
  <c r="R133" i="3"/>
  <c r="Q133" i="3"/>
  <c r="P133" i="3"/>
  <c r="V132" i="3"/>
  <c r="T132" i="3"/>
  <c r="S132" i="3"/>
  <c r="R132" i="3"/>
  <c r="Q132" i="3"/>
  <c r="P132" i="3"/>
  <c r="E132" i="3"/>
  <c r="D132" i="3"/>
  <c r="U132" i="3" s="1"/>
  <c r="V131" i="3"/>
  <c r="U131" i="3"/>
  <c r="T131" i="3"/>
  <c r="S131" i="3"/>
  <c r="R131" i="3"/>
  <c r="Q131" i="3"/>
  <c r="P131" i="3"/>
  <c r="V130" i="3"/>
  <c r="T130" i="3"/>
  <c r="S130" i="3"/>
  <c r="R130" i="3"/>
  <c r="Q130" i="3"/>
  <c r="P130" i="3"/>
  <c r="E130" i="3"/>
  <c r="D130" i="3"/>
  <c r="U130" i="3" s="1"/>
  <c r="V129" i="3"/>
  <c r="U129" i="3"/>
  <c r="T129" i="3"/>
  <c r="S129" i="3"/>
  <c r="R129" i="3"/>
  <c r="Q129" i="3"/>
  <c r="P129" i="3"/>
  <c r="E129" i="3"/>
  <c r="D129" i="3"/>
  <c r="V128" i="3"/>
  <c r="U128" i="3"/>
  <c r="T128" i="3"/>
  <c r="S128" i="3"/>
  <c r="R128" i="3"/>
  <c r="Q128" i="3"/>
  <c r="P128" i="3"/>
  <c r="V127" i="3"/>
  <c r="U127" i="3"/>
  <c r="T127" i="3"/>
  <c r="S127" i="3"/>
  <c r="R127" i="3"/>
  <c r="Q127" i="3"/>
  <c r="P127" i="3"/>
  <c r="V126" i="3"/>
  <c r="U126" i="3"/>
  <c r="T126" i="3"/>
  <c r="S126" i="3"/>
  <c r="R126" i="3"/>
  <c r="Q126" i="3"/>
  <c r="P126" i="3"/>
  <c r="V125" i="3"/>
  <c r="U125" i="3"/>
  <c r="T125" i="3"/>
  <c r="S125" i="3"/>
  <c r="R125" i="3"/>
  <c r="Q125" i="3"/>
  <c r="P125" i="3"/>
  <c r="V124" i="3"/>
  <c r="T124" i="3"/>
  <c r="S124" i="3"/>
  <c r="R124" i="3"/>
  <c r="Q124" i="3"/>
  <c r="P124" i="3"/>
  <c r="E124" i="3"/>
  <c r="D124" i="3"/>
  <c r="U124" i="3" s="1"/>
  <c r="V123" i="3"/>
  <c r="U123" i="3"/>
  <c r="T123" i="3"/>
  <c r="S123" i="3"/>
  <c r="R123" i="3"/>
  <c r="Q123" i="3"/>
  <c r="P123" i="3"/>
  <c r="V122" i="3"/>
  <c r="U122" i="3"/>
  <c r="T122" i="3"/>
  <c r="S122" i="3"/>
  <c r="R122" i="3"/>
  <c r="Q122" i="3"/>
  <c r="P122" i="3"/>
  <c r="V121" i="3"/>
  <c r="U121" i="3"/>
  <c r="T121" i="3"/>
  <c r="S121" i="3"/>
  <c r="R121" i="3"/>
  <c r="Q121" i="3"/>
  <c r="P121" i="3"/>
  <c r="V120" i="3"/>
  <c r="U120" i="3"/>
  <c r="T120" i="3"/>
  <c r="S120" i="3"/>
  <c r="R120" i="3"/>
  <c r="Q120" i="3"/>
  <c r="P120" i="3"/>
  <c r="V119" i="3"/>
  <c r="U119" i="3"/>
  <c r="T119" i="3"/>
  <c r="S119" i="3"/>
  <c r="R119" i="3"/>
  <c r="Q119" i="3"/>
  <c r="P119" i="3"/>
  <c r="V118" i="3"/>
  <c r="U118" i="3"/>
  <c r="T118" i="3"/>
  <c r="S118" i="3"/>
  <c r="R118" i="3"/>
  <c r="Q118" i="3"/>
  <c r="P118" i="3"/>
  <c r="V117" i="3"/>
  <c r="U117" i="3"/>
  <c r="T117" i="3"/>
  <c r="S117" i="3"/>
  <c r="R117" i="3"/>
  <c r="Q117" i="3"/>
  <c r="P117" i="3"/>
  <c r="V116" i="3"/>
  <c r="U116" i="3"/>
  <c r="T116" i="3"/>
  <c r="S116" i="3"/>
  <c r="R116" i="3"/>
  <c r="Q116" i="3"/>
  <c r="P116" i="3"/>
  <c r="V115" i="3"/>
  <c r="U115" i="3"/>
  <c r="T115" i="3"/>
  <c r="S115" i="3"/>
  <c r="R115" i="3"/>
  <c r="Q115" i="3"/>
  <c r="P115" i="3"/>
  <c r="V114" i="3"/>
  <c r="U114" i="3"/>
  <c r="T114" i="3"/>
  <c r="S114" i="3"/>
  <c r="R114" i="3"/>
  <c r="Q114" i="3"/>
  <c r="P114" i="3"/>
  <c r="V113" i="3"/>
  <c r="U113" i="3"/>
  <c r="T113" i="3"/>
  <c r="S113" i="3"/>
  <c r="R113" i="3"/>
  <c r="Q113" i="3"/>
  <c r="P113" i="3"/>
  <c r="V112" i="3"/>
  <c r="U112" i="3"/>
  <c r="T112" i="3"/>
  <c r="S112" i="3"/>
  <c r="R112" i="3"/>
  <c r="Q112" i="3"/>
  <c r="P112" i="3"/>
  <c r="V111" i="3"/>
  <c r="U111" i="3"/>
  <c r="T111" i="3"/>
  <c r="S111" i="3"/>
  <c r="R111" i="3"/>
  <c r="Q111" i="3"/>
  <c r="P111" i="3"/>
  <c r="V110" i="3"/>
  <c r="T110" i="3"/>
  <c r="S110" i="3"/>
  <c r="R110" i="3"/>
  <c r="E19" i="7" s="1"/>
  <c r="Q110" i="3"/>
  <c r="P110" i="3"/>
  <c r="E25" i="5" s="1"/>
  <c r="E110" i="3"/>
  <c r="F22" i="12" s="1"/>
  <c r="D110" i="3"/>
  <c r="I31" i="12" s="1"/>
  <c r="V109" i="3"/>
  <c r="U109" i="3"/>
  <c r="T109" i="3"/>
  <c r="S109" i="3"/>
  <c r="R109" i="3"/>
  <c r="Q109" i="3"/>
  <c r="P109" i="3"/>
  <c r="V108" i="3"/>
  <c r="U108" i="3"/>
  <c r="T108" i="3"/>
  <c r="S108" i="3"/>
  <c r="R108" i="3"/>
  <c r="Q108" i="3"/>
  <c r="P108" i="3"/>
  <c r="V107" i="3"/>
  <c r="U107" i="3"/>
  <c r="T107" i="3"/>
  <c r="S107" i="3"/>
  <c r="R107" i="3"/>
  <c r="Q107" i="3"/>
  <c r="P107" i="3"/>
  <c r="V106" i="3"/>
  <c r="U106" i="3"/>
  <c r="T106" i="3"/>
  <c r="S106" i="3"/>
  <c r="R106" i="3"/>
  <c r="Q106" i="3"/>
  <c r="P106" i="3"/>
  <c r="V105" i="3"/>
  <c r="U105" i="3"/>
  <c r="T105" i="3"/>
  <c r="S105" i="3"/>
  <c r="R105" i="3"/>
  <c r="Q105" i="3"/>
  <c r="P105" i="3"/>
  <c r="V104" i="3"/>
  <c r="U104" i="3"/>
  <c r="T104" i="3"/>
  <c r="S104" i="3"/>
  <c r="R104" i="3"/>
  <c r="Q104" i="3"/>
  <c r="P104" i="3"/>
  <c r="V103" i="3"/>
  <c r="U103" i="3"/>
  <c r="T103" i="3"/>
  <c r="S103" i="3"/>
  <c r="R103" i="3"/>
  <c r="Q103" i="3"/>
  <c r="P103" i="3"/>
  <c r="V102" i="3"/>
  <c r="U102" i="3"/>
  <c r="T102" i="3"/>
  <c r="S102" i="3"/>
  <c r="R102" i="3"/>
  <c r="Q102" i="3"/>
  <c r="P102" i="3"/>
  <c r="V101" i="3"/>
  <c r="U101" i="3"/>
  <c r="T101" i="3"/>
  <c r="S101" i="3"/>
  <c r="R101" i="3"/>
  <c r="Q101" i="3"/>
  <c r="P101" i="3"/>
  <c r="V100" i="3"/>
  <c r="U100" i="3"/>
  <c r="T100" i="3"/>
  <c r="S100" i="3"/>
  <c r="R100" i="3"/>
  <c r="Q100" i="3"/>
  <c r="P100" i="3"/>
  <c r="V99" i="3"/>
  <c r="U99" i="3"/>
  <c r="T99" i="3"/>
  <c r="S99" i="3"/>
  <c r="R99" i="3"/>
  <c r="Q99" i="3"/>
  <c r="P99" i="3"/>
  <c r="V98" i="3"/>
  <c r="T98" i="3"/>
  <c r="S98" i="3"/>
  <c r="R98" i="3"/>
  <c r="Q98" i="3"/>
  <c r="P98" i="3"/>
  <c r="E98" i="3"/>
  <c r="D98" i="3"/>
  <c r="U98" i="3" s="1"/>
  <c r="V97" i="3"/>
  <c r="U97" i="3"/>
  <c r="T97" i="3"/>
  <c r="S97" i="3"/>
  <c r="R97" i="3"/>
  <c r="Q97" i="3"/>
  <c r="P97" i="3"/>
  <c r="E97" i="3"/>
  <c r="D97" i="3"/>
  <c r="V96" i="3"/>
  <c r="U96" i="3"/>
  <c r="T96" i="3"/>
  <c r="S96" i="3"/>
  <c r="R96" i="3"/>
  <c r="Q96" i="3"/>
  <c r="P96" i="3"/>
  <c r="V95" i="3"/>
  <c r="U95" i="3"/>
  <c r="T95" i="3"/>
  <c r="S95" i="3"/>
  <c r="R95" i="3"/>
  <c r="Q95" i="3"/>
  <c r="P95" i="3"/>
  <c r="V94" i="3"/>
  <c r="U94" i="3"/>
  <c r="T94" i="3"/>
  <c r="S94" i="3"/>
  <c r="R94" i="3"/>
  <c r="Q94" i="3"/>
  <c r="P94" i="3"/>
  <c r="V93" i="3"/>
  <c r="U93" i="3"/>
  <c r="T93" i="3"/>
  <c r="S93" i="3"/>
  <c r="R93" i="3"/>
  <c r="Q93" i="3"/>
  <c r="P93" i="3"/>
  <c r="V92" i="3"/>
  <c r="U92" i="3"/>
  <c r="T92" i="3"/>
  <c r="S92" i="3"/>
  <c r="R92" i="3"/>
  <c r="Q92" i="3"/>
  <c r="P92" i="3"/>
  <c r="V91" i="3"/>
  <c r="U91" i="3"/>
  <c r="T91" i="3"/>
  <c r="S91" i="3"/>
  <c r="R91" i="3"/>
  <c r="Q91" i="3"/>
  <c r="P91" i="3"/>
  <c r="V90" i="3"/>
  <c r="U90" i="3"/>
  <c r="T90" i="3"/>
  <c r="S90" i="3"/>
  <c r="R90" i="3"/>
  <c r="Q90" i="3"/>
  <c r="P90" i="3"/>
  <c r="V89" i="3"/>
  <c r="U89" i="3"/>
  <c r="T89" i="3"/>
  <c r="S89" i="3"/>
  <c r="R89" i="3"/>
  <c r="Q89" i="3"/>
  <c r="P89" i="3"/>
  <c r="V88" i="3"/>
  <c r="U88" i="3"/>
  <c r="T88" i="3"/>
  <c r="S88" i="3"/>
  <c r="R88" i="3"/>
  <c r="Q88" i="3"/>
  <c r="P88" i="3"/>
  <c r="E88" i="3"/>
  <c r="D88" i="3"/>
  <c r="V87" i="3"/>
  <c r="U87" i="3"/>
  <c r="T87" i="3"/>
  <c r="S87" i="3"/>
  <c r="R87" i="3"/>
  <c r="Q87" i="3"/>
  <c r="P87" i="3"/>
  <c r="D87" i="3"/>
  <c r="V86" i="3"/>
  <c r="U86" i="3"/>
  <c r="T86" i="3"/>
  <c r="S86" i="3"/>
  <c r="R86" i="3"/>
  <c r="Q86" i="3"/>
  <c r="P86" i="3"/>
  <c r="V85" i="3"/>
  <c r="U85" i="3"/>
  <c r="T85" i="3"/>
  <c r="S85" i="3"/>
  <c r="R85" i="3"/>
  <c r="Q85" i="3"/>
  <c r="P85" i="3"/>
  <c r="V84" i="3"/>
  <c r="U84" i="3"/>
  <c r="T84" i="3"/>
  <c r="S84" i="3"/>
  <c r="R84" i="3"/>
  <c r="Q84" i="3"/>
  <c r="P84" i="3"/>
  <c r="V83" i="3"/>
  <c r="U83" i="3"/>
  <c r="T83" i="3"/>
  <c r="S83" i="3"/>
  <c r="R83" i="3"/>
  <c r="Q83" i="3"/>
  <c r="P83" i="3"/>
  <c r="V82" i="3"/>
  <c r="U82" i="3"/>
  <c r="T82" i="3"/>
  <c r="S82" i="3"/>
  <c r="R82" i="3"/>
  <c r="Q82" i="3"/>
  <c r="P82" i="3"/>
  <c r="V81" i="3"/>
  <c r="U81" i="3"/>
  <c r="T81" i="3"/>
  <c r="S81" i="3"/>
  <c r="R81" i="3"/>
  <c r="Q81" i="3"/>
  <c r="P81" i="3"/>
  <c r="V80" i="3"/>
  <c r="U80" i="3"/>
  <c r="T80" i="3"/>
  <c r="S80" i="3"/>
  <c r="R80" i="3"/>
  <c r="Q80" i="3"/>
  <c r="P80" i="3"/>
  <c r="V79" i="3"/>
  <c r="U79" i="3"/>
  <c r="T79" i="3"/>
  <c r="S79" i="3"/>
  <c r="R79" i="3"/>
  <c r="Q79" i="3"/>
  <c r="P79" i="3"/>
  <c r="V78" i="3"/>
  <c r="U78" i="3"/>
  <c r="T78" i="3"/>
  <c r="S78" i="3"/>
  <c r="R78" i="3"/>
  <c r="Q78" i="3"/>
  <c r="P78" i="3"/>
  <c r="V77" i="3"/>
  <c r="U77" i="3"/>
  <c r="T77" i="3"/>
  <c r="S77" i="3"/>
  <c r="R77" i="3"/>
  <c r="Q77" i="3"/>
  <c r="P77" i="3"/>
  <c r="V76" i="3"/>
  <c r="U76" i="3"/>
  <c r="T76" i="3"/>
  <c r="S76" i="3"/>
  <c r="R76" i="3"/>
  <c r="Q76" i="3"/>
  <c r="P76" i="3"/>
  <c r="V75" i="3"/>
  <c r="U75" i="3"/>
  <c r="T75" i="3"/>
  <c r="S75" i="3"/>
  <c r="R75" i="3"/>
  <c r="Q75" i="3"/>
  <c r="P75" i="3"/>
  <c r="V74" i="3"/>
  <c r="T74" i="3"/>
  <c r="S74" i="3"/>
  <c r="R74" i="3"/>
  <c r="M16" i="4" s="1"/>
  <c r="Q74" i="3"/>
  <c r="P74" i="3"/>
  <c r="K8" i="4" s="1"/>
  <c r="E74" i="3"/>
  <c r="E21" i="12" s="1"/>
  <c r="D74" i="3"/>
  <c r="M30" i="12" s="1"/>
  <c r="V73" i="3"/>
  <c r="U73" i="3"/>
  <c r="T73" i="3"/>
  <c r="S73" i="3"/>
  <c r="R73" i="3"/>
  <c r="Q73" i="3"/>
  <c r="P73" i="3"/>
  <c r="V72" i="3"/>
  <c r="U72" i="3"/>
  <c r="T72" i="3"/>
  <c r="S72" i="3"/>
  <c r="R72" i="3"/>
  <c r="Q72" i="3"/>
  <c r="P72" i="3"/>
  <c r="V71" i="3"/>
  <c r="U71" i="3"/>
  <c r="T71" i="3"/>
  <c r="S71" i="3"/>
  <c r="R71" i="3"/>
  <c r="Q71" i="3"/>
  <c r="P71" i="3"/>
  <c r="V70" i="3"/>
  <c r="U70" i="3"/>
  <c r="T70" i="3"/>
  <c r="S70" i="3"/>
  <c r="R70" i="3"/>
  <c r="Q70" i="3"/>
  <c r="P70" i="3"/>
  <c r="E70" i="3"/>
  <c r="D70" i="3"/>
  <c r="V69" i="3"/>
  <c r="T69" i="3"/>
  <c r="S69" i="3"/>
  <c r="R69" i="3"/>
  <c r="Q69" i="3"/>
  <c r="P69" i="3"/>
  <c r="E69" i="3"/>
  <c r="D69" i="3"/>
  <c r="U69" i="3" s="1"/>
  <c r="V68" i="3"/>
  <c r="U68" i="3"/>
  <c r="T68" i="3"/>
  <c r="S68" i="3"/>
  <c r="R68" i="3"/>
  <c r="Q68" i="3"/>
  <c r="P68" i="3"/>
  <c r="V67" i="3"/>
  <c r="T67" i="3"/>
  <c r="S67" i="3"/>
  <c r="R67" i="3"/>
  <c r="Q67" i="3"/>
  <c r="P67" i="3"/>
  <c r="E67" i="3"/>
  <c r="D67" i="3"/>
  <c r="U67" i="3" s="1"/>
  <c r="V66" i="3"/>
  <c r="T66" i="3"/>
  <c r="S66" i="3"/>
  <c r="R66" i="3"/>
  <c r="Q66" i="3"/>
  <c r="P66" i="3"/>
  <c r="E66" i="3"/>
  <c r="U66" i="3" s="1"/>
  <c r="D66" i="3"/>
  <c r="V65" i="3"/>
  <c r="U65" i="3"/>
  <c r="T65" i="3"/>
  <c r="S65" i="3"/>
  <c r="R65" i="3"/>
  <c r="Q65" i="3"/>
  <c r="P65" i="3"/>
  <c r="V64" i="3"/>
  <c r="T64" i="3"/>
  <c r="S64" i="3"/>
  <c r="R64" i="3"/>
  <c r="Q64" i="3"/>
  <c r="P64" i="3"/>
  <c r="E64" i="3"/>
  <c r="U64" i="3" s="1"/>
  <c r="D64" i="3"/>
  <c r="V63" i="3"/>
  <c r="U63" i="3"/>
  <c r="T63" i="3"/>
  <c r="S63" i="3"/>
  <c r="R63" i="3"/>
  <c r="Q63" i="3"/>
  <c r="P63" i="3"/>
  <c r="V62" i="3"/>
  <c r="T62" i="3"/>
  <c r="S62" i="3"/>
  <c r="R62" i="3"/>
  <c r="Q62" i="3"/>
  <c r="P62" i="3"/>
  <c r="E62" i="3"/>
  <c r="U62" i="3" s="1"/>
  <c r="D62" i="3"/>
  <c r="V61" i="3"/>
  <c r="U61" i="3"/>
  <c r="T61" i="3"/>
  <c r="S61" i="3"/>
  <c r="R61" i="3"/>
  <c r="Q61" i="3"/>
  <c r="P61" i="3"/>
  <c r="V60" i="3"/>
  <c r="U60" i="3"/>
  <c r="T60" i="3"/>
  <c r="S60" i="3"/>
  <c r="R60" i="3"/>
  <c r="Q60" i="3"/>
  <c r="P60" i="3"/>
  <c r="V59" i="3"/>
  <c r="U59" i="3"/>
  <c r="T59" i="3"/>
  <c r="S59" i="3"/>
  <c r="R59" i="3"/>
  <c r="Q59" i="3"/>
  <c r="P59" i="3"/>
  <c r="V58" i="3"/>
  <c r="U58" i="3"/>
  <c r="T58" i="3"/>
  <c r="S58" i="3"/>
  <c r="R58" i="3"/>
  <c r="Q58" i="3"/>
  <c r="P58" i="3"/>
  <c r="E58" i="3"/>
  <c r="D58" i="3"/>
  <c r="V57" i="3"/>
  <c r="U57" i="3"/>
  <c r="T57" i="3"/>
  <c r="S57" i="3"/>
  <c r="R57" i="3"/>
  <c r="Q57" i="3"/>
  <c r="P57" i="3"/>
  <c r="V56" i="3"/>
  <c r="U56" i="3"/>
  <c r="T56" i="3"/>
  <c r="S56" i="3"/>
  <c r="R56" i="3"/>
  <c r="Q56" i="3"/>
  <c r="P56" i="3"/>
  <c r="V55" i="3"/>
  <c r="U55" i="3"/>
  <c r="T55" i="3"/>
  <c r="S55" i="3"/>
  <c r="R55" i="3"/>
  <c r="Q55" i="3"/>
  <c r="P55" i="3"/>
  <c r="V54" i="3"/>
  <c r="U54" i="3"/>
  <c r="T54" i="3"/>
  <c r="S54" i="3"/>
  <c r="R54" i="3"/>
  <c r="Q54" i="3"/>
  <c r="P54" i="3"/>
  <c r="V53" i="3"/>
  <c r="U53" i="3"/>
  <c r="T53" i="3"/>
  <c r="S53" i="3"/>
  <c r="R53" i="3"/>
  <c r="Q53" i="3"/>
  <c r="P53" i="3"/>
  <c r="V52" i="3"/>
  <c r="T52" i="3"/>
  <c r="S52" i="3"/>
  <c r="R52" i="3"/>
  <c r="Q52" i="3"/>
  <c r="P52" i="3"/>
  <c r="E52" i="3"/>
  <c r="D52" i="3"/>
  <c r="U52" i="3" s="1"/>
  <c r="V51" i="3"/>
  <c r="U51" i="3"/>
  <c r="T51" i="3"/>
  <c r="S51" i="3"/>
  <c r="R51" i="3"/>
  <c r="Q51" i="3"/>
  <c r="P51" i="3"/>
  <c r="V50" i="3"/>
  <c r="U50" i="3"/>
  <c r="T50" i="3"/>
  <c r="S50" i="3"/>
  <c r="R50" i="3"/>
  <c r="Q50" i="3"/>
  <c r="P50" i="3"/>
  <c r="V49" i="3"/>
  <c r="U49" i="3"/>
  <c r="T49" i="3"/>
  <c r="S49" i="3"/>
  <c r="R49" i="3"/>
  <c r="Q49" i="3"/>
  <c r="P49" i="3"/>
  <c r="V48" i="3"/>
  <c r="U48" i="3"/>
  <c r="T48" i="3"/>
  <c r="S48" i="3"/>
  <c r="R48" i="3"/>
  <c r="Q48" i="3"/>
  <c r="P48" i="3"/>
  <c r="V47" i="3"/>
  <c r="U47" i="3"/>
  <c r="T47" i="3"/>
  <c r="S47" i="3"/>
  <c r="R47" i="3"/>
  <c r="Q47" i="3"/>
  <c r="P47" i="3"/>
  <c r="V46" i="3"/>
  <c r="U46" i="3"/>
  <c r="T46" i="3"/>
  <c r="S46" i="3"/>
  <c r="R46" i="3"/>
  <c r="Q46" i="3"/>
  <c r="P46" i="3"/>
  <c r="V45" i="3"/>
  <c r="U45" i="3"/>
  <c r="T45" i="3"/>
  <c r="S45" i="3"/>
  <c r="R45" i="3"/>
  <c r="Q45" i="3"/>
  <c r="P45" i="3"/>
  <c r="V44" i="3"/>
  <c r="U44" i="3"/>
  <c r="T44" i="3"/>
  <c r="S44" i="3"/>
  <c r="R44" i="3"/>
  <c r="Q44" i="3"/>
  <c r="P44" i="3"/>
  <c r="V43" i="3"/>
  <c r="T43" i="3"/>
  <c r="S43" i="3"/>
  <c r="R43" i="3"/>
  <c r="Q43" i="3"/>
  <c r="P43" i="3"/>
  <c r="E43" i="3"/>
  <c r="U43" i="3" s="1"/>
  <c r="D43" i="3"/>
  <c r="V42" i="3"/>
  <c r="U42" i="3"/>
  <c r="T42" i="3"/>
  <c r="S42" i="3"/>
  <c r="R42" i="3"/>
  <c r="Q42" i="3"/>
  <c r="P42" i="3"/>
  <c r="V41" i="3"/>
  <c r="U41" i="3"/>
  <c r="T41" i="3"/>
  <c r="S41" i="3"/>
  <c r="R41" i="3"/>
  <c r="Q41" i="3"/>
  <c r="P41" i="3"/>
  <c r="V40" i="3"/>
  <c r="T40" i="3"/>
  <c r="S40" i="3"/>
  <c r="R40" i="3"/>
  <c r="Q40" i="3"/>
  <c r="P40" i="3"/>
  <c r="E40" i="3"/>
  <c r="D40" i="3"/>
  <c r="U40" i="3" s="1"/>
  <c r="V39" i="3"/>
  <c r="U39" i="3"/>
  <c r="T39" i="3"/>
  <c r="S39" i="3"/>
  <c r="R39" i="3"/>
  <c r="Q39" i="3"/>
  <c r="P39" i="3"/>
  <c r="V38" i="3"/>
  <c r="T38" i="3"/>
  <c r="S38" i="3"/>
  <c r="R38" i="3"/>
  <c r="C18" i="7" s="1"/>
  <c r="Q38" i="3"/>
  <c r="P38" i="3"/>
  <c r="C28" i="5" s="1"/>
  <c r="E38" i="3"/>
  <c r="F20" i="12" s="1"/>
  <c r="D38" i="3"/>
  <c r="I29" i="12" s="1"/>
  <c r="V37" i="3"/>
  <c r="T37" i="3"/>
  <c r="S37" i="3"/>
  <c r="R37" i="3"/>
  <c r="Q37" i="3"/>
  <c r="P37" i="3"/>
  <c r="E37" i="3"/>
  <c r="U37" i="3" s="1"/>
  <c r="D37" i="3"/>
  <c r="V36" i="3"/>
  <c r="U36" i="3"/>
  <c r="T36" i="3"/>
  <c r="S36" i="3"/>
  <c r="R36" i="3"/>
  <c r="Q36" i="3"/>
  <c r="P36" i="3"/>
  <c r="V35" i="3"/>
  <c r="U35" i="3"/>
  <c r="T35" i="3"/>
  <c r="S35" i="3"/>
  <c r="R35" i="3"/>
  <c r="Q35" i="3"/>
  <c r="P35" i="3"/>
  <c r="V34" i="3"/>
  <c r="U34" i="3"/>
  <c r="T34" i="3"/>
  <c r="S34" i="3"/>
  <c r="R34" i="3"/>
  <c r="Q34" i="3"/>
  <c r="P34" i="3"/>
  <c r="V33" i="3"/>
  <c r="U33" i="3"/>
  <c r="T33" i="3"/>
  <c r="S33" i="3"/>
  <c r="R33" i="3"/>
  <c r="Q33" i="3"/>
  <c r="P33" i="3"/>
  <c r="V32" i="3"/>
  <c r="U32" i="3"/>
  <c r="T32" i="3"/>
  <c r="S32" i="3"/>
  <c r="R32" i="3"/>
  <c r="Q32" i="3"/>
  <c r="P32" i="3"/>
  <c r="V31" i="3"/>
  <c r="U31" i="3"/>
  <c r="T31" i="3"/>
  <c r="S31" i="3"/>
  <c r="R31" i="3"/>
  <c r="Q31" i="3"/>
  <c r="P31" i="3"/>
  <c r="V30" i="3"/>
  <c r="U30" i="3"/>
  <c r="T30" i="3"/>
  <c r="S30" i="3"/>
  <c r="R30" i="3"/>
  <c r="Q30" i="3"/>
  <c r="P30" i="3"/>
  <c r="V29" i="3"/>
  <c r="U29" i="3"/>
  <c r="T29" i="3"/>
  <c r="S29" i="3"/>
  <c r="R29" i="3"/>
  <c r="Q29" i="3"/>
  <c r="P29" i="3"/>
  <c r="E29" i="3"/>
  <c r="D29" i="3"/>
  <c r="V28" i="3"/>
  <c r="U28" i="3"/>
  <c r="T28" i="3"/>
  <c r="S28" i="3"/>
  <c r="R28" i="3"/>
  <c r="Q28" i="3"/>
  <c r="P28" i="3"/>
  <c r="E28" i="3"/>
  <c r="D28" i="3"/>
  <c r="V27" i="3"/>
  <c r="U27" i="3"/>
  <c r="T27" i="3"/>
  <c r="S27" i="3"/>
  <c r="R27" i="3"/>
  <c r="Q27" i="3"/>
  <c r="P27" i="3"/>
  <c r="V26" i="3"/>
  <c r="U26" i="3"/>
  <c r="T26" i="3"/>
  <c r="S26" i="3"/>
  <c r="R26" i="3"/>
  <c r="Q26" i="3"/>
  <c r="P26" i="3"/>
  <c r="E26" i="3"/>
  <c r="D26" i="3"/>
  <c r="V25" i="3"/>
  <c r="U25" i="3"/>
  <c r="T25" i="3"/>
  <c r="S25" i="3"/>
  <c r="R25" i="3"/>
  <c r="Q25" i="3"/>
  <c r="P25" i="3"/>
  <c r="V24" i="3"/>
  <c r="U24" i="3"/>
  <c r="T24" i="3"/>
  <c r="S24" i="3"/>
  <c r="R24" i="3"/>
  <c r="Q24" i="3"/>
  <c r="P24" i="3"/>
  <c r="V23" i="3"/>
  <c r="U23" i="3"/>
  <c r="T23" i="3"/>
  <c r="S23" i="3"/>
  <c r="R23" i="3"/>
  <c r="Q23" i="3"/>
  <c r="P23" i="3"/>
  <c r="V22" i="3"/>
  <c r="U22" i="3"/>
  <c r="T22" i="3"/>
  <c r="S22" i="3"/>
  <c r="R22" i="3"/>
  <c r="Q22" i="3"/>
  <c r="P22" i="3"/>
  <c r="V21" i="3"/>
  <c r="U21" i="3"/>
  <c r="T21" i="3"/>
  <c r="S21" i="3"/>
  <c r="R21" i="3"/>
  <c r="Q21" i="3"/>
  <c r="P21" i="3"/>
  <c r="V20" i="3"/>
  <c r="U20" i="3"/>
  <c r="T20" i="3"/>
  <c r="S20" i="3"/>
  <c r="R20" i="3"/>
  <c r="Q20" i="3"/>
  <c r="P20" i="3"/>
  <c r="V19" i="3"/>
  <c r="U19" i="3"/>
  <c r="T19" i="3"/>
  <c r="S19" i="3"/>
  <c r="R19" i="3"/>
  <c r="Q19" i="3"/>
  <c r="P19" i="3"/>
  <c r="E19" i="3"/>
  <c r="V18" i="3"/>
  <c r="U18" i="3"/>
  <c r="T18" i="3"/>
  <c r="S18" i="3"/>
  <c r="R18" i="3"/>
  <c r="Q18" i="3"/>
  <c r="P18" i="3"/>
  <c r="V17" i="3"/>
  <c r="U17" i="3"/>
  <c r="T17" i="3"/>
  <c r="S17" i="3"/>
  <c r="R17" i="3"/>
  <c r="Q17" i="3"/>
  <c r="P17" i="3"/>
  <c r="V16" i="3"/>
  <c r="U16" i="3"/>
  <c r="T16" i="3"/>
  <c r="S16" i="3"/>
  <c r="R16" i="3"/>
  <c r="Q16" i="3"/>
  <c r="P16" i="3"/>
  <c r="V15" i="3"/>
  <c r="U15" i="3"/>
  <c r="T15" i="3"/>
  <c r="S15" i="3"/>
  <c r="R15" i="3"/>
  <c r="Q15" i="3"/>
  <c r="P15" i="3"/>
  <c r="V14" i="3"/>
  <c r="U14" i="3"/>
  <c r="T14" i="3"/>
  <c r="S14" i="3"/>
  <c r="R14" i="3"/>
  <c r="Q14" i="3"/>
  <c r="P14" i="3"/>
  <c r="V13" i="3"/>
  <c r="U13" i="3"/>
  <c r="T13" i="3"/>
  <c r="S13" i="3"/>
  <c r="R13" i="3"/>
  <c r="Q13" i="3"/>
  <c r="P13" i="3"/>
  <c r="V12" i="3"/>
  <c r="T12" i="3"/>
  <c r="S12" i="3"/>
  <c r="R12" i="3"/>
  <c r="Q12" i="3"/>
  <c r="P12" i="3"/>
  <c r="E12" i="3"/>
  <c r="U12" i="3" s="1"/>
  <c r="D12" i="3"/>
  <c r="V11" i="3"/>
  <c r="U11" i="3"/>
  <c r="T11" i="3"/>
  <c r="S11" i="3"/>
  <c r="R11" i="3"/>
  <c r="Q11" i="3"/>
  <c r="P11" i="3"/>
  <c r="V10" i="3"/>
  <c r="U10" i="3"/>
  <c r="T10" i="3"/>
  <c r="S10" i="3"/>
  <c r="R10" i="3"/>
  <c r="Q10" i="3"/>
  <c r="P10" i="3"/>
  <c r="V9" i="3"/>
  <c r="U9" i="3"/>
  <c r="T9" i="3"/>
  <c r="S9" i="3"/>
  <c r="R9" i="3"/>
  <c r="Q9" i="3"/>
  <c r="P9" i="3"/>
  <c r="V8" i="3"/>
  <c r="U8" i="3"/>
  <c r="T8" i="3"/>
  <c r="S8" i="3"/>
  <c r="R8" i="3"/>
  <c r="Q8" i="3"/>
  <c r="P8" i="3"/>
  <c r="V7" i="3"/>
  <c r="U7" i="3"/>
  <c r="T7" i="3"/>
  <c r="S7" i="3"/>
  <c r="R7" i="3"/>
  <c r="Q7" i="3"/>
  <c r="P7" i="3"/>
  <c r="V6" i="3"/>
  <c r="U6" i="3"/>
  <c r="T6" i="3"/>
  <c r="S6" i="3"/>
  <c r="R6" i="3"/>
  <c r="Q6" i="3"/>
  <c r="P6" i="3"/>
  <c r="V5" i="3"/>
  <c r="U5" i="3"/>
  <c r="T5" i="3"/>
  <c r="S5" i="3"/>
  <c r="R5" i="3"/>
  <c r="Q5" i="3"/>
  <c r="P5" i="3"/>
  <c r="V4" i="3"/>
  <c r="U4" i="3"/>
  <c r="T4" i="3"/>
  <c r="S4" i="3"/>
  <c r="R4" i="3"/>
  <c r="Q4" i="3"/>
  <c r="P4" i="3"/>
  <c r="V3" i="3"/>
  <c r="U3" i="3"/>
  <c r="T3" i="3"/>
  <c r="S3" i="3"/>
  <c r="R3" i="3"/>
  <c r="Q3" i="3"/>
  <c r="P3" i="3"/>
  <c r="E3" i="3"/>
  <c r="V2" i="3"/>
  <c r="B10" i="12" s="1"/>
  <c r="D10" i="12" s="1"/>
  <c r="T2" i="3"/>
  <c r="B7" i="12" s="1"/>
  <c r="D7" i="12" s="1"/>
  <c r="S2" i="3"/>
  <c r="B6" i="12" s="1"/>
  <c r="D6" i="12" s="1"/>
  <c r="R2" i="3"/>
  <c r="M14" i="4" s="1"/>
  <c r="Q2" i="3"/>
  <c r="P2" i="3"/>
  <c r="M6" i="4" s="1"/>
  <c r="E2" i="3"/>
  <c r="F19" i="12" s="1"/>
  <c r="D2" i="3"/>
  <c r="M28" i="12" s="1"/>
  <c r="E181" i="1"/>
  <c r="D181" i="1"/>
  <c r="E180" i="1"/>
  <c r="D180" i="1"/>
  <c r="E179" i="1"/>
  <c r="D179" i="1"/>
  <c r="E178" i="1"/>
  <c r="D178" i="1"/>
  <c r="E177" i="1"/>
  <c r="D177" i="1"/>
  <c r="E176" i="1"/>
  <c r="D176" i="1"/>
  <c r="E175" i="1"/>
  <c r="D175" i="1"/>
  <c r="E174" i="1"/>
  <c r="D174" i="1"/>
  <c r="E173" i="1"/>
  <c r="D173" i="1"/>
  <c r="E172" i="1"/>
  <c r="D172" i="1"/>
  <c r="E171" i="1"/>
  <c r="D171" i="1"/>
  <c r="E170" i="1"/>
  <c r="D170" i="1"/>
  <c r="E169" i="1"/>
  <c r="D169" i="1"/>
  <c r="E168" i="1"/>
  <c r="D168" i="1"/>
  <c r="E167" i="1"/>
  <c r="D167" i="1"/>
  <c r="E166" i="1"/>
  <c r="D166" i="1"/>
  <c r="E165" i="1"/>
  <c r="D165" i="1"/>
  <c r="E164" i="1"/>
  <c r="D164" i="1"/>
  <c r="E163" i="1"/>
  <c r="D163" i="1"/>
  <c r="E162" i="1"/>
  <c r="D162" i="1"/>
  <c r="E161" i="1"/>
  <c r="D161" i="1"/>
  <c r="E160" i="1"/>
  <c r="D160" i="1"/>
  <c r="E159" i="1"/>
  <c r="D159" i="1"/>
  <c r="E158" i="1"/>
  <c r="D158" i="1"/>
  <c r="E157" i="1"/>
  <c r="D157" i="1"/>
  <c r="E156" i="1"/>
  <c r="D156" i="1"/>
  <c r="E155" i="1"/>
  <c r="D155" i="1"/>
  <c r="E154" i="1"/>
  <c r="D154" i="1"/>
  <c r="E153" i="1"/>
  <c r="D153" i="1"/>
  <c r="E152" i="1"/>
  <c r="D152" i="1"/>
  <c r="E151" i="1"/>
  <c r="D151" i="1"/>
  <c r="E150" i="1"/>
  <c r="D150" i="1"/>
  <c r="E149" i="1"/>
  <c r="D149" i="1"/>
  <c r="E148" i="1"/>
  <c r="D148" i="1"/>
  <c r="E147" i="1"/>
  <c r="D147" i="1"/>
  <c r="E146" i="1"/>
  <c r="D146" i="1"/>
  <c r="E145" i="1"/>
  <c r="D145" i="1"/>
  <c r="E144" i="1"/>
  <c r="D144" i="1"/>
  <c r="E143" i="1"/>
  <c r="D143" i="1"/>
  <c r="E142" i="1"/>
  <c r="D142" i="1"/>
  <c r="E141" i="1"/>
  <c r="D141" i="1"/>
  <c r="E140" i="1"/>
  <c r="D140" i="1"/>
  <c r="E139" i="1"/>
  <c r="D139" i="1"/>
  <c r="E138" i="1"/>
  <c r="D138" i="1"/>
  <c r="E137" i="1"/>
  <c r="D137" i="1"/>
  <c r="E136" i="1"/>
  <c r="D136" i="1"/>
  <c r="E135" i="1"/>
  <c r="D135" i="1"/>
  <c r="E134" i="1"/>
  <c r="D134" i="1"/>
  <c r="E133" i="1"/>
  <c r="D133" i="1"/>
  <c r="E132" i="1"/>
  <c r="D132" i="1"/>
  <c r="E131" i="1"/>
  <c r="D131" i="1"/>
  <c r="E130" i="1"/>
  <c r="D130" i="1"/>
  <c r="E129" i="1"/>
  <c r="D129" i="1"/>
  <c r="E128" i="1"/>
  <c r="D128" i="1"/>
  <c r="E127" i="1"/>
  <c r="D127" i="1"/>
  <c r="E126" i="1"/>
  <c r="D126" i="1"/>
  <c r="E125" i="1"/>
  <c r="D125" i="1"/>
  <c r="E124" i="1"/>
  <c r="D124" i="1"/>
  <c r="E123" i="1"/>
  <c r="D123" i="1"/>
  <c r="E122" i="1"/>
  <c r="D122" i="1"/>
  <c r="E121" i="1"/>
  <c r="D121" i="1"/>
  <c r="E120" i="1"/>
  <c r="D120" i="1"/>
  <c r="E119" i="1"/>
  <c r="D119" i="1"/>
  <c r="E118" i="1"/>
  <c r="D118" i="1"/>
  <c r="E117" i="1"/>
  <c r="D117" i="1"/>
  <c r="E116" i="1"/>
  <c r="D116" i="1"/>
  <c r="E115" i="1"/>
  <c r="D115" i="1"/>
  <c r="E114" i="1"/>
  <c r="D114" i="1"/>
  <c r="E113" i="1"/>
  <c r="D113" i="1"/>
  <c r="E112" i="1"/>
  <c r="D112" i="1"/>
  <c r="E111" i="1"/>
  <c r="D111" i="1"/>
  <c r="E110" i="1"/>
  <c r="D110" i="1"/>
  <c r="E109" i="1"/>
  <c r="D109" i="1"/>
  <c r="E108" i="1"/>
  <c r="D108" i="1"/>
  <c r="E107" i="1"/>
  <c r="D107" i="1"/>
  <c r="E106" i="1"/>
  <c r="D106" i="1"/>
  <c r="E105" i="1"/>
  <c r="D105" i="1"/>
  <c r="E104" i="1"/>
  <c r="D104" i="1"/>
  <c r="E103" i="1"/>
  <c r="D103" i="1"/>
  <c r="E102" i="1"/>
  <c r="D102" i="1"/>
  <c r="E101" i="1"/>
  <c r="D101" i="1"/>
  <c r="E100" i="1"/>
  <c r="D100" i="1"/>
  <c r="E99" i="1"/>
  <c r="D99" i="1"/>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5" i="1"/>
  <c r="D65"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E37" i="1"/>
  <c r="D37" i="1"/>
  <c r="E36" i="1"/>
  <c r="D36" i="1"/>
  <c r="E35" i="1"/>
  <c r="D35" i="1"/>
  <c r="E34" i="1"/>
  <c r="D34" i="1"/>
  <c r="E33" i="1"/>
  <c r="D33" i="1"/>
  <c r="E32" i="1"/>
  <c r="D32" i="1"/>
  <c r="E31" i="1"/>
  <c r="D31" i="1"/>
  <c r="E30" i="1"/>
  <c r="D30" i="1"/>
  <c r="E29" i="1"/>
  <c r="D29" i="1"/>
  <c r="E28" i="1"/>
  <c r="D28" i="1"/>
  <c r="E27" i="1"/>
  <c r="D27" i="1"/>
  <c r="E26" i="1"/>
  <c r="D26" i="1"/>
  <c r="E25" i="1"/>
  <c r="D25" i="1"/>
  <c r="E24" i="1"/>
  <c r="D24" i="1"/>
  <c r="E23" i="1"/>
  <c r="D23" i="1"/>
  <c r="E22" i="1"/>
  <c r="D22" i="1"/>
  <c r="E21" i="1"/>
  <c r="D21" i="1"/>
  <c r="E20" i="1"/>
  <c r="D20" i="1"/>
  <c r="E19" i="1"/>
  <c r="D19"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 r="B14" i="12" l="1"/>
  <c r="D14" i="12" s="1"/>
  <c r="H5" i="6"/>
  <c r="B13" i="12"/>
  <c r="D13" i="12" s="1"/>
  <c r="N6" i="4"/>
  <c r="L8" i="4"/>
  <c r="L10" i="4"/>
  <c r="N14" i="4"/>
  <c r="N16" i="4"/>
  <c r="N18" i="4"/>
  <c r="D24" i="5"/>
  <c r="F25" i="5"/>
  <c r="B27" i="5"/>
  <c r="D28" i="5"/>
  <c r="B17" i="7"/>
  <c r="D18" i="7"/>
  <c r="F19" i="7"/>
  <c r="E5" i="9"/>
  <c r="C6" i="9"/>
  <c r="M6" i="9"/>
  <c r="K7" i="9"/>
  <c r="E9" i="9"/>
  <c r="C10" i="9"/>
  <c r="M10" i="9"/>
  <c r="K11" i="9"/>
  <c r="E13" i="9"/>
  <c r="C14" i="9"/>
  <c r="M14" i="9"/>
  <c r="K15" i="9"/>
  <c r="C22" i="9"/>
  <c r="C26" i="9"/>
  <c r="C30" i="9"/>
  <c r="F21" i="12"/>
  <c r="G21" i="12" s="1"/>
  <c r="D23" i="12"/>
  <c r="F28" i="12"/>
  <c r="B29" i="12"/>
  <c r="J29" i="12"/>
  <c r="F30" i="12"/>
  <c r="B31" i="12"/>
  <c r="J31" i="12"/>
  <c r="F32" i="12"/>
  <c r="U74" i="3"/>
  <c r="M8" i="4"/>
  <c r="M10" i="4"/>
  <c r="K15" i="4"/>
  <c r="K17" i="4"/>
  <c r="E24" i="5"/>
  <c r="C27" i="5"/>
  <c r="E28" i="5"/>
  <c r="C17" i="7"/>
  <c r="E18" i="7"/>
  <c r="F5" i="9"/>
  <c r="D6" i="9"/>
  <c r="B7" i="9"/>
  <c r="L7" i="9"/>
  <c r="J8" i="9"/>
  <c r="F9" i="9"/>
  <c r="D10" i="9"/>
  <c r="B11" i="9"/>
  <c r="L11" i="9"/>
  <c r="J12" i="9"/>
  <c r="F13" i="9"/>
  <c r="D14" i="9"/>
  <c r="B15" i="9"/>
  <c r="L15" i="9"/>
  <c r="J16" i="9"/>
  <c r="B23" i="9"/>
  <c r="B27" i="9"/>
  <c r="B31" i="9"/>
  <c r="B15" i="12"/>
  <c r="D15" i="12" s="1"/>
  <c r="E23" i="12"/>
  <c r="G23" i="12" s="1"/>
  <c r="G28" i="12"/>
  <c r="C29" i="12"/>
  <c r="K29" i="12"/>
  <c r="G30" i="12"/>
  <c r="C31" i="12"/>
  <c r="K31" i="12"/>
  <c r="G32" i="12"/>
  <c r="U146" i="3"/>
  <c r="N8" i="4"/>
  <c r="N10" i="4"/>
  <c r="L15" i="4"/>
  <c r="L17" i="4"/>
  <c r="F24" i="5"/>
  <c r="B26" i="5"/>
  <c r="D27" i="5"/>
  <c r="F28" i="5"/>
  <c r="D17" i="7"/>
  <c r="F18" i="7"/>
  <c r="B20" i="7"/>
  <c r="E6" i="9"/>
  <c r="C7" i="9"/>
  <c r="M7" i="9"/>
  <c r="K8" i="9"/>
  <c r="E10" i="9"/>
  <c r="C11" i="9"/>
  <c r="M11" i="9"/>
  <c r="K12" i="9"/>
  <c r="E14" i="9"/>
  <c r="C15" i="9"/>
  <c r="M15" i="9"/>
  <c r="K16" i="9"/>
  <c r="C23" i="9"/>
  <c r="C27" i="9"/>
  <c r="C31" i="9"/>
  <c r="E20" i="12"/>
  <c r="G20" i="12" s="1"/>
  <c r="H28" i="12"/>
  <c r="D29" i="12"/>
  <c r="L29" i="12"/>
  <c r="H30" i="12"/>
  <c r="D31" i="12"/>
  <c r="L31" i="12"/>
  <c r="H32" i="12"/>
  <c r="K7" i="4"/>
  <c r="M15" i="4"/>
  <c r="M17" i="4"/>
  <c r="C26" i="5"/>
  <c r="E27" i="5"/>
  <c r="E17" i="7"/>
  <c r="C20" i="7"/>
  <c r="J5" i="9"/>
  <c r="F6" i="9"/>
  <c r="D7" i="9"/>
  <c r="B8" i="9"/>
  <c r="L8" i="9"/>
  <c r="J9" i="9"/>
  <c r="F10" i="9"/>
  <c r="D11" i="9"/>
  <c r="B12" i="9"/>
  <c r="L12" i="9"/>
  <c r="J13" i="9"/>
  <c r="F14" i="9"/>
  <c r="D15" i="9"/>
  <c r="B16" i="9"/>
  <c r="L16" i="9"/>
  <c r="B24" i="9"/>
  <c r="B28" i="9"/>
  <c r="B32" i="9"/>
  <c r="D22" i="12"/>
  <c r="I28" i="12"/>
  <c r="E29" i="12"/>
  <c r="M29" i="12"/>
  <c r="I30" i="12"/>
  <c r="E31" i="12"/>
  <c r="M31" i="12"/>
  <c r="I32" i="12"/>
  <c r="L7" i="4"/>
  <c r="L9" i="4"/>
  <c r="N15" i="4"/>
  <c r="N17" i="4"/>
  <c r="B25" i="5"/>
  <c r="D26" i="5"/>
  <c r="F27" i="5"/>
  <c r="F17" i="7"/>
  <c r="B19" i="7"/>
  <c r="D20" i="7"/>
  <c r="K5" i="9"/>
  <c r="E7" i="9"/>
  <c r="C8" i="9"/>
  <c r="M8" i="9"/>
  <c r="K9" i="9"/>
  <c r="E11" i="9"/>
  <c r="C12" i="9"/>
  <c r="M12" i="9"/>
  <c r="K13" i="9"/>
  <c r="E15" i="9"/>
  <c r="C16" i="9"/>
  <c r="M16" i="9"/>
  <c r="C24" i="9"/>
  <c r="C28" i="9"/>
  <c r="C32" i="9"/>
  <c r="D19" i="12"/>
  <c r="E22" i="12"/>
  <c r="G22" i="12" s="1"/>
  <c r="B28" i="12"/>
  <c r="J28" i="12"/>
  <c r="F29" i="12"/>
  <c r="B30" i="12"/>
  <c r="J30" i="12"/>
  <c r="F31" i="12"/>
  <c r="B32" i="12"/>
  <c r="J32" i="12"/>
  <c r="U2" i="3"/>
  <c r="K6" i="4"/>
  <c r="M7" i="4"/>
  <c r="M9" i="4"/>
  <c r="K14" i="4"/>
  <c r="K16" i="4"/>
  <c r="K18" i="4"/>
  <c r="C25" i="5"/>
  <c r="E26" i="5"/>
  <c r="C19" i="7"/>
  <c r="E20" i="7"/>
  <c r="B5" i="9"/>
  <c r="L5" i="9"/>
  <c r="J6" i="9"/>
  <c r="F7" i="9"/>
  <c r="D8" i="9"/>
  <c r="B9" i="9"/>
  <c r="L9" i="9"/>
  <c r="J10" i="9"/>
  <c r="F11" i="9"/>
  <c r="D12" i="9"/>
  <c r="B13" i="9"/>
  <c r="L13" i="9"/>
  <c r="J14" i="9"/>
  <c r="F15" i="9"/>
  <c r="D16" i="9"/>
  <c r="B21" i="9"/>
  <c r="B25" i="9"/>
  <c r="B29" i="9"/>
  <c r="B9" i="12"/>
  <c r="D9" i="12" s="1"/>
  <c r="E19" i="12"/>
  <c r="G19" i="12" s="1"/>
  <c r="C28" i="12"/>
  <c r="K28" i="12"/>
  <c r="G29" i="12"/>
  <c r="C30" i="12"/>
  <c r="K30" i="12"/>
  <c r="G31" i="12"/>
  <c r="C32" i="12"/>
  <c r="K32" i="12"/>
  <c r="U110" i="3"/>
  <c r="L6" i="4"/>
  <c r="N7" i="4"/>
  <c r="N9" i="4"/>
  <c r="L14" i="4"/>
  <c r="L16" i="4"/>
  <c r="L18" i="4"/>
  <c r="B24" i="5"/>
  <c r="G24" i="5" s="1"/>
  <c r="D25" i="5"/>
  <c r="F26" i="5"/>
  <c r="B28" i="5"/>
  <c r="G28" i="5" s="1"/>
  <c r="B18" i="7"/>
  <c r="G18" i="7" s="1"/>
  <c r="D19" i="7"/>
  <c r="F20" i="7"/>
  <c r="C5" i="9"/>
  <c r="M5" i="9"/>
  <c r="K6" i="9"/>
  <c r="E8" i="9"/>
  <c r="C9" i="9"/>
  <c r="M9" i="9"/>
  <c r="K10" i="9"/>
  <c r="E12" i="9"/>
  <c r="C13" i="9"/>
  <c r="M13" i="9"/>
  <c r="K14" i="9"/>
  <c r="E16" i="9"/>
  <c r="C21" i="9"/>
  <c r="C25" i="9"/>
  <c r="C29" i="9"/>
  <c r="D28" i="12"/>
  <c r="L28" i="12"/>
  <c r="H29" i="12"/>
  <c r="D30" i="12"/>
  <c r="L30" i="12"/>
  <c r="H31" i="12"/>
  <c r="D32" i="12"/>
  <c r="L32" i="12"/>
  <c r="U38" i="3"/>
  <c r="C24" i="5"/>
  <c r="D5" i="9"/>
  <c r="B6" i="9"/>
  <c r="G6" i="9" s="1"/>
  <c r="L6" i="9"/>
  <c r="J7" i="9"/>
  <c r="F8" i="9"/>
  <c r="D9" i="9"/>
  <c r="B10" i="9"/>
  <c r="G10" i="9" s="1"/>
  <c r="L10" i="9"/>
  <c r="J11" i="9"/>
  <c r="F12" i="9"/>
  <c r="D13" i="9"/>
  <c r="B14" i="9"/>
  <c r="G14" i="9" s="1"/>
  <c r="L14" i="9"/>
  <c r="J15" i="9"/>
  <c r="F16" i="9"/>
  <c r="B22" i="9"/>
  <c r="B26" i="9"/>
  <c r="B30" i="9"/>
  <c r="E28" i="12"/>
  <c r="E30" i="12"/>
  <c r="E32" i="12"/>
  <c r="G11" i="9" l="1"/>
  <c r="G5" i="9"/>
  <c r="G12" i="9"/>
  <c r="G20" i="7"/>
  <c r="G25" i="5"/>
  <c r="G15" i="9"/>
  <c r="G9" i="9"/>
  <c r="B8" i="12"/>
  <c r="D8" i="12" s="1"/>
  <c r="G16" i="9"/>
  <c r="G17" i="7"/>
  <c r="G7" i="9"/>
  <c r="G8" i="9"/>
  <c r="G26" i="5"/>
  <c r="G27" i="5"/>
  <c r="G13" i="9"/>
  <c r="G19" i="7"/>
</calcChain>
</file>

<file path=xl/sharedStrings.xml><?xml version="1.0" encoding="utf-8"?>
<sst xmlns="http://schemas.openxmlformats.org/spreadsheetml/2006/main" count="4324" uniqueCount="757">
  <si>
    <t>Post ID</t>
  </si>
  <si>
    <t>University</t>
  </si>
  <si>
    <t>Post Date</t>
  </si>
  <si>
    <t>Month</t>
  </si>
  <si>
    <t>Year</t>
  </si>
  <si>
    <t>Instagram URL</t>
  </si>
  <si>
    <t>Post Type</t>
  </si>
  <si>
    <t>Recruitment-Oriented?</t>
  </si>
  <si>
    <t>Primary Theme</t>
  </si>
  <si>
    <t>Secondary Theme</t>
  </si>
  <si>
    <t>Marketing Approach</t>
  </si>
  <si>
    <t>CTA Present?</t>
  </si>
  <si>
    <t>Likes</t>
  </si>
  <si>
    <t>Comments</t>
  </si>
  <si>
    <t>Caption Summary</t>
  </si>
  <si>
    <t>UOT001</t>
  </si>
  <si>
    <t>University of Toronto</t>
  </si>
  <si>
    <t>https://www.instagram.com/reel/DFDbR9zSpaG/?utm_source=ig_web_copy_link&amp;igsh=MzRlODBiNWFlZA==</t>
  </si>
  <si>
    <t>Reel</t>
  </si>
  <si>
    <t>Yes</t>
  </si>
  <si>
    <t>Student Experience</t>
  </si>
  <si>
    <t>Campus Life</t>
  </si>
  <si>
    <t>Emotional Storytelling</t>
  </si>
  <si>
    <t>We’re asking @uoftmedicine &amp; @uoftrunclub’s Emily Nguyen about her rapid fire faves at #UofT!
Have you seen our first #MyUofT video? Be sure to check it out!</t>
  </si>
  <si>
    <t>UOT002</t>
  </si>
  <si>
    <t>https://www.instagram.com/p/DFV2mHuyw7n/?utm_source=ig_web_copy_link&amp;igsh=MzRlODBiNWFlZA==</t>
  </si>
  <si>
    <t>Image</t>
  </si>
  <si>
    <t>Rankings &amp; Achievements</t>
  </si>
  <si>
    <t>Academic Programs</t>
  </si>
  <si>
    <t>Reputation Building</t>
  </si>
  <si>
    <t>#UofT ranked first in Canada in all 11 subjects tracked by Times Higher Education’s World University Rankings by Subject 2025 – and is one of only six universities in the world to rank in the top 30 across the board. 🍁</t>
  </si>
  <si>
    <t>UOT003</t>
  </si>
  <si>
    <t>https://www.instagram.com/reel/DFdo9ZNv8UA/?utm_source=ig_web_copy_link&amp;igsh=MzRlODBiNWFlZA==</t>
  </si>
  <si>
    <t>Alumni Success</t>
  </si>
  <si>
    <t>Events</t>
  </si>
  <si>
    <t>Community Engagement</t>
  </si>
  <si>
    <t>What if sharing your expertise could spark a positive change? With more than 23,000 #UofTalumni already stepping up as mentors and volunteers, our #UofT community is powered by the passion and dedication of our grads.</t>
  </si>
  <si>
    <t>UOT004</t>
  </si>
  <si>
    <t>https://www.instagram.com/p/DFtOatUykUC/?utm_source=ig_web_copy_link&amp;igsh=MzRlODBiNWFlZA==</t>
  </si>
  <si>
    <t>Research &amp; Innovation</t>
  </si>
  <si>
    <t xml:space="preserve">#UofT is among the world’s top 10 universities powering global innovation in critical areas like technology, health care, sustainability and economic development, according to international data analytics company Clarivate. </t>
  </si>
  <si>
    <t>UOT005</t>
  </si>
  <si>
    <t>https://www.instagram.com/reel/DF8FBerRF8m/?utm_source=ig_web_copy_link&amp;igsh=MzRlODBiNWFlZA==</t>
  </si>
  <si>
    <t>Student Testimonial</t>
  </si>
  <si>
    <t>A day in the life of a @uoftims &amp; #UofT PhD student, @sciencewithsajee!</t>
  </si>
  <si>
    <t>UOT006</t>
  </si>
  <si>
    <t>https://www.instagram.com/p/DGDu9TwRvKz/?utm_source=ig_web_copy_link&amp;igsh=MzRlODBiNWFlZA==</t>
  </si>
  <si>
    <t>Carousel</t>
  </si>
  <si>
    <t>Diversity &amp; Inclusion</t>
  </si>
  <si>
    <t xml:space="preserve">Diagnosed with autism, he couldn’t speak or signal his thoughts. But everything changed when he learned to communicate through a letter board. What followed stunned his family. Now, he is helping #UofT neuroscientist Morgan Barense with her research @uoftpsychology using brain scans into non-speaking autism. </t>
  </si>
  <si>
    <t>UOT007</t>
  </si>
  <si>
    <t>https://www.instagram.com/reel/DHJab1PRh1X/?utm_source=ig_web_copy_link&amp;igsh=MzRlODBiNWFlZA==</t>
  </si>
  <si>
    <t>This is @uoftstartup’s #UofTEntWeek, founder style! Follow #UofT alumna &amp; Toothpod founder @vishar.y as she explores everything U of T Entrepreneurship has to offer, including her personal advice on getting started.</t>
  </si>
  <si>
    <t>UOT008</t>
  </si>
  <si>
    <t>https://www.instagram.com/reel/DHT7iTYxaMb/?utm_source=ig_web_copy_link&amp;igsh=MzRlODBiNWFlZA==</t>
  </si>
  <si>
    <t>Inspirational</t>
  </si>
  <si>
    <t>No</t>
  </si>
  <si>
    <t>11 languages? 🤯 Recent #UofT alumni and hyperpolyglot @xinyi_limx shows us her appreciation for the diversity and rich culture that Toronto has to offer. #MyUofT</t>
  </si>
  <si>
    <t>UOT009</t>
  </si>
  <si>
    <t>https://www.instagram.com/reel/DHbOdPjyScp/?utm_source=ig_web_copy_link&amp;igsh=MzRlODBiNWFlZA==</t>
  </si>
  <si>
    <t>Admissions</t>
  </si>
  <si>
    <t>Student Support Services</t>
  </si>
  <si>
    <t>Call-to-Action</t>
  </si>
  <si>
    <t>Did you get an acceptance letter from #UofT? Congratulations! 🎉 We want to see your excitement to start your journey with us next year! DM us or post a video with #UofTBound tagging @futureuoft, @uoft and your campus @utsc or @uoftmississauga for your chance to be featured on our accounts!</t>
  </si>
  <si>
    <t>UOT010</t>
  </si>
  <si>
    <t>https://www.instagram.com/p/DH6YEVQOf-Z/?utm_source=ig_web_copy_link&amp;igsh=MzRlODBiNWFlZA==</t>
  </si>
  <si>
    <t>Promotional</t>
  </si>
  <si>
    <t>#UTM March Open House was a memorable day filled with opportunities! 💙
.</t>
  </si>
  <si>
    <t>UOT011</t>
  </si>
  <si>
    <t>https://www.instagram.com/reel/DIB-jGhRYlB/?utm_source=ig_web_copy_link&amp;igsh=MzRlODBiNWFlZA==</t>
  </si>
  <si>
    <t>Campus Facilities</t>
  </si>
  <si>
    <t>After being named #UofT’s 17th president on March 26, Melanie Woodin met with students, staff, faculty and senior leaders across U of T’s three campuses during a whirlwind two-day tour. 💙</t>
  </si>
  <si>
    <t>UOT012</t>
  </si>
  <si>
    <t>https://www.instagram.com/reel/DI37WR7tdJv/?utm_source=ig_web_copy_link&amp;igsh=MzRlODBiNWFlZA==</t>
  </si>
  <si>
    <t>his is the moment when @dentistrywithdal found out she was #UofTBound! 💙 She’ll be attending @uoftdentistry this fall. We’re so excited to have you at #UofT, @daliaprovad!</t>
  </si>
  <si>
    <t>UOT013</t>
  </si>
  <si>
    <t>https://www.instagram.com/reel/DJUeIo4Jy8I/?utm_source=ig_web_copy_link&amp;igsh=MzRlODBiNWFlZA==</t>
  </si>
  <si>
    <t>s spring begins to bloom in southern Ontario, thousands of students from across #UofT’s three campuses are preparing to close their laptops, don gowns and hoods – and walk across the #UofTGrad25 stage in Convocation Hall. 📜
Read the story via our link in bio or at uoft.me/sc25</t>
  </si>
  <si>
    <t>UOT014</t>
  </si>
  <si>
    <t>https://www.instagram.com/reel/DJrhRH1t1wM/?utm_source=ig_web_copy_link&amp;igsh=MzRlODBiNWFlZA==</t>
  </si>
  <si>
    <t>In this #MyUofT, follow @gabriel_vargas.glz through a day in the life as a 2nd year BBA Co-op Management student at @utsc! As an international student from Mexico, Gabriel shows us his home at Harmony Commons and around #UTSC. 🇲🇽 #UofT</t>
  </si>
  <si>
    <t>UOT015</t>
  </si>
  <si>
    <t>https://www.instagram.com/p/DKKXdHbtaSE/?utm_source=ig_web_copy_link&amp;igsh=MzRlODBiNWFlZA==</t>
  </si>
  <si>
    <t>Having made the difficult decision to drop out of high school several years earlier, Moosewaypayo entered U of T through the Millie Rotman Shime Academic Bridging Program at @woodsworth.college @uoftartsci, which was recommended to her by a friend. The program allows students who wouldn’t otherwise meet U of T’s admission requirements to qualify for honours bachelor of arts and bachelor of science programs.</t>
  </si>
  <si>
    <t>UOT016</t>
  </si>
  <si>
    <t>https://www.instagram.com/reel/DKXIit-OuyH/?utm_source=ig_web_copy_link&amp;igsh=MzRlODBiNWFlZA==</t>
  </si>
  <si>
    <t>We asked, you answered. Your @UofT memories, old and new, gave us all the feels. 💙
This year at #UofTReunion, alumni across all three campuses celebrated every moment, big and small. Thank you to our alumni and friends for bringing the energy (and the stories)!</t>
  </si>
  <si>
    <t>UOT017</t>
  </si>
  <si>
    <t>June</t>
  </si>
  <si>
    <t xml:space="preserve">https://www.instagram.com/p/DLAZUomgiBI/?utm_source=ig_web_copy_link&amp;igsh=MzRlODBiNWFlZA== </t>
  </si>
  <si>
    <t>Becoming ‘AI-ready’: #UofT’s task force on artificial intelligence releases recommendations.
The task force’s report aims to establish U of T as a post-secondary leader in its implementation of AI across its operations.
Learn more at our link in bio or at uoft.me/aitf.</t>
  </si>
  <si>
    <t>UOT018</t>
  </si>
  <si>
    <t>https://www.instagram.com/reel/DLSfp-YAoOW/?utm_source=ig_web_copy_link&amp;igsh=MzRlODBiNWFlZA==</t>
  </si>
  <si>
    <t>Informational</t>
  </si>
  <si>
    <t>The Black Students’ Association celebrated #UofT’s Class of 2025 at @harthouseuoft earlier this month. The annual, student-run “Black Grad” celebration recognizes the resilience, diversity &amp; academic accomplishments of Black students graduating from U of T’s three campuses. 🎉 #UofTGrad25</t>
  </si>
  <si>
    <t>UOT019</t>
  </si>
  <si>
    <t>https://www.instagram.com/reel/DLsRmpdA1zs/?utm_source=ig_web_copy_link&amp;igsh=MzRlODBiNWFlZA==</t>
  </si>
  <si>
    <t>Other</t>
  </si>
  <si>
    <t>#UofT took centre stage at the first ever Toronto Tech Week this year. Some of the most renowned names in AI and other cutting-edge fields, from Nobel laureate Geoffrey Hinton to self-driving whiz Raquel Urtasun, were featured in panel discussions, fireside chats, startup demos and other events from June 23-27.</t>
  </si>
  <si>
    <t>UOT020</t>
  </si>
  <si>
    <t>https://www.instagram.com/p/DL5NrRFNftG/?utm_source=ig_web_copy_link&amp;igsh=MzRlODBiNWFlZA==</t>
  </si>
  <si>
    <t>Career Opportunities</t>
  </si>
  <si>
    <t>What happens when passion meets purpose? @oiseuoft student Shezadi Khushal’s #UofT journey is driven by a deep commitment to equity in education. Now, she’s working to make the system better for everyone.</t>
  </si>
  <si>
    <t>UOT021</t>
  </si>
  <si>
    <t>https://www.instagram.com/reel/DMQN3rzucXD/?utm_source=ig_web_copy_link&amp;igsh=MzRlODBiNWFlZA==</t>
  </si>
  <si>
    <t>What does the future of dental education look like? From analog tools to advanced tech, #UofT Dentistry’s training spaces have come a long way.</t>
  </si>
  <si>
    <t>UOT022</t>
  </si>
  <si>
    <t>https://www.instagram.com/p/DNGc3jhRA7u/?utm_source=ig_web_copy_link&amp;igsh=MzRlODBiNWFlZA==</t>
  </si>
  <si>
    <t>New #UofT students – the countdown is on! 💙
There are tons of ways to get involved and kick off your university journey across all three campuses. Check out these resources as you start your new journey with confidence ⬇️</t>
  </si>
  <si>
    <t>UOT023</t>
  </si>
  <si>
    <t>https://www.instagram.com/reel/DNqgCcQx-uw/?utm_source=ig_web_copy_link&amp;igsh=MzRlODBiNWFlZA==</t>
  </si>
  <si>
    <t>PART 1 📚 We asked #UofT students to share some tips on things they wish they knew before starting university? 🤔💙 #MyUofT</t>
  </si>
  <si>
    <t>UOT024</t>
  </si>
  <si>
    <t>https://www.instagram.com/reel/DN1FAXx3g0g/?utm_source=ig_web_copy_link&amp;igsh=MzRlODBiNWFlZA==</t>
  </si>
  <si>
    <t>Guess which nursing school is ranked first in Canada and fourth in the world? @uoftnursing is leading the way, from award-winning research and a state-of-the-art simulation lab to groundbreaking programs and placements at Canada’s top health-care institutions. Watch student Morayo Aladejana walk us through why Bloomberg Nursing is best in class.</t>
  </si>
  <si>
    <t>UOT025</t>
  </si>
  <si>
    <t>https://www.instagram.com/reel/C_gAY05uOuR/?utm_source=ig_web_copy_link&amp;igsh=MzRlODBiNWFlZA==</t>
  </si>
  <si>
    <t>Who remembers their first day at #UofT like it was yesterday? It’s certainly top of mind for #UofTalumni Ali Kehl, @viccollege’s campus life coordinator, because it’s now her job to help undergrads settle in and get involved. As Vic celebrates 100 years of student engagement in 2024, we asked Ali to share her favourite spots around the college she still calls home.</t>
  </si>
  <si>
    <t>UOT026</t>
  </si>
  <si>
    <t>https://www.instagram.com/p/DARSyHePe8t/?utm_source=ig_web_copy_link&amp;igsh=MzRlODBiNWFlZA==</t>
  </si>
  <si>
    <t>Scholarships &amp; Financial Aid</t>
  </si>
  <si>
    <t xml:space="preserve">A $25-million gift from Myron and Berna Garron will contribute to the construction of a new state-of-the-art facility at UTSC that will house the Scarborough Academy of Medicine and Integrated Health (SAMIH). @uoft will name the new building the Myron and Berna Garron Health Sciences Complex, in honour of the Garrons’ exceptional generosity.  </t>
  </si>
  <si>
    <t>UOT027</t>
  </si>
  <si>
    <t>https://www.instagram.com/reel/DAYquplxdS_/?utm_source=ig_web_copy_link&amp;igsh=MzRlODBiNWFlZA==</t>
  </si>
  <si>
    <t>International Students</t>
  </si>
  <si>
    <t>From why they chose #UofT to making the most of your first year — international students share their experiences 💙 #UofTBackToSchool</t>
  </si>
  <si>
    <t>UOT028</t>
  </si>
  <si>
    <t>https://www.instagram.com/reel/DAoiZorSwTY/?utm_source=ig_web_copy_link&amp;igsh=MzRlODBiNWFlZA==</t>
  </si>
  <si>
    <t>Screening across #UofT this fall is a documentary that highlights the journey of international students to our three campuses.
International Students: First 48 Hours in Canada is a 22-minute film directed by Cal Campos, capturing the excitement and challenges of packing, traveling, and finally setting foot on each campus.</t>
  </si>
  <si>
    <t>UOT029</t>
  </si>
  <si>
    <t>https://www.instagram.com/p/DBMdpOWSbwV/?utm_source=ig_web_copy_link&amp;igsh=MzRlODBiNWFlZA==</t>
  </si>
  <si>
    <t>#UofT is once again first in Canada and 21st globally in the prestigious World Reputation Rankings by @timeshighered 🌎
The ranking assesses schools across five broad pillars: teaching, research environment, research quality, industry and international outlook.</t>
  </si>
  <si>
    <t>UOT030</t>
  </si>
  <si>
    <t>https://www.instagram.com/reel/DBzXmj1S2on/?utm_source=ig_web_copy_link&amp;igsh=MzRlODBiNWFlZA==</t>
  </si>
  <si>
    <t>Lim is set to graduate this week with a master’s in Hispanic linguistics with a collaborative specialization in diaspora and transnational studies from the department of Spanish and Portuguese in @uoftartsci.</t>
  </si>
  <si>
    <t>UOT031</t>
  </si>
  <si>
    <t>https://www.instagram.com/reel/DCATQHVvYtC/?utm_source=ig_web_copy_link&amp;igsh=MzRlODBiNWFlZA==</t>
  </si>
  <si>
    <t>We asked our newest #UofTGrad24 grads what was the best thing you have taken from your time at #UTM. 💙🍂
.
Congratulations to all our #UTM grads on officially joining the @uoftmississaugaalumni / @UofTAlumni family!</t>
  </si>
  <si>
    <t>UOT032</t>
  </si>
  <si>
    <t>https://www.instagram.com/p/DCSHxJnJNet/?utm_source=ig_web_copy_link&amp;igsh=MzRlODBiNWFlZA==</t>
  </si>
  <si>
    <t xml:space="preserve">Beginning next fall, all current and incoming students in the funded cohort (the first four or five years) of PhD and SJD programs will be guaranteed an annual base funding package of $40,000 including tuition – one of the highest base funding packages in Canada.
 </t>
  </si>
  <si>
    <t>UOT033</t>
  </si>
  <si>
    <t>https://www.instagram.com/p/DCpX9yNS_2L/?utm_source=ig_web_copy_link&amp;igsh=MzRlODBiNWFlZA==</t>
  </si>
  <si>
    <t>#UofT is among the top 15 universities globally for graduate employability in the latest ranking from @timeshighered. 🌎
The Global University Employability Ranking 2025 is based on survey data and reflects the opinions of large employers.</t>
  </si>
  <si>
    <t>UOT034</t>
  </si>
  <si>
    <t>https://www.instagram.com/reel/DDhy0kPyu20/?utm_source=ig_web_copy_link&amp;igsh=MzRlODBiNWFlZA==</t>
  </si>
  <si>
    <t>Celebrating the new Nobel laureate 💙 As #UofT’s Geoffrey Hinton received his #NobelPrize in Stockholm, our community gathered across all three campuses for watch parties to witness this historic moment.
Visit our link in bio or uoft.me/b8E for the full story.</t>
  </si>
  <si>
    <t>UOT035</t>
  </si>
  <si>
    <t>https://www.instagram.com/reel/DDpX2VwxuaG/?utm_source=ig_web_copy_link&amp;igsh=MzRlODBiNWFlZA==</t>
  </si>
  <si>
    <t>Step inside The Faculty Club at 41 Willcocks St, a hidden gem on the St. George campus with a storied past.
In 1959, artist and @UofT prof Barker Fairley and his wife, activist Margaret Fairley, offered the club a collection of Group of Seven art on the condition that women be admitted. You can see the paintings today in the Fairley Lounge, including works by Lawren Harris, A.J. Casson and J.E.H. Macdonald.</t>
  </si>
  <si>
    <t>UOT036</t>
  </si>
  <si>
    <t>https://www.instagram.com/p/DDw6qyUv2xA/?utm_source=ig_web_copy_link&amp;igsh=MzRlODBiNWFlZA==</t>
  </si>
  <si>
    <t>Reminder: There are many mental health resources available to you at U of T, wherever you are. For easy access to mental health support at Health &amp; Wellness, please visit uoft.me/mentalhealthcare (link in bio)</t>
  </si>
  <si>
    <t>MAC001</t>
  </si>
  <si>
    <t>McMaster University</t>
  </si>
  <si>
    <t>https://www.instagram.com/p/DE5AYDnR5bj/?utm_source=ig_web_copy_link&amp;igsh=MzRlODBiNWFlZA==</t>
  </si>
  <si>
    <t>Mark Walton, vice-dean of Faculty of Affairs with McMaster’s Faculty of Health Sciences, has accomplished a feat few have done: running a marathon on all seven continents.</t>
  </si>
  <si>
    <t>MAC002</t>
  </si>
  <si>
    <t>https://www.instagram.com/reel/DFdsXUXvuIf/?utm_source=ig_web_copy_link&amp;igsh=MzRlODBiNWFlZA==</t>
  </si>
  <si>
    <t>When I started at McMaster, I wasn’t sure what career I wanted to pursue. Here’s 3 things that helped me figure that out.</t>
  </si>
  <si>
    <t>MAC003</t>
  </si>
  <si>
    <t xml:space="preserve">https://www.instagram.com/p/DFoEtHbPabK/?utm_source=ig_web_copy_link&amp;igsh=MzRlODBiNWFlZA== </t>
  </si>
  <si>
    <t>Student Clubs &amp; Organizations</t>
  </si>
  <si>
    <t xml:space="preserve">Powerful spoken word performances and joyful music rang out in MUSC today, as our community gathered to celebrate the launch of Black History Month at McMaster.  
Today’s event marks the start of a month-long series of events, programming and celebration.  </t>
  </si>
  <si>
    <t>MAC004</t>
  </si>
  <si>
    <t>https://www.instagram.com/reel/DGjEPZ-yTRx/?utm_source=ig_web_copy_link&amp;igsh=MzRlODBiNWFlZA==</t>
  </si>
  <si>
    <t>ehind the scenes at the McLean Centre for Collaborative Discovery 🚧.
This bright space on the third floor will be the new home of Innis Library when the MCCD opens its doors in fall 2025.</t>
  </si>
  <si>
    <t>MAC005</t>
  </si>
  <si>
    <t>https://www.instagram.com/p/DGoKCC_SUfA/?utm_source=ig_web_copy_link&amp;igsh=MzRlODBiNWFlZA==</t>
  </si>
  <si>
    <t>Announcing an exciting new academic option available to all McMaster students: the Minor in Nuclear Studies &amp; Society!
As Canada’s Nuclear University, we know how important it is to prepare students in all disciplines for careers in the growing nuclear industry.</t>
  </si>
  <si>
    <t>MAC006</t>
  </si>
  <si>
    <t>https://www.instagram.com/reel/DGqhEb7JDU8/?utm_source=ig_web_copy_link&amp;igsh=MzRlODBiNWFlZA==</t>
  </si>
  <si>
    <t>What’s the most unique experience on your resume? 
March is National Co-op and Work-Integrated Learning Month. We know that some students have a harder time understanding the value of skills they’ve picked up while volunteering, pursuing a co-op, or even through their hobbies. This month, we’re sharing student stories and resources that will encourage you to find value in all your experiences! It all adds up ⭐️</t>
  </si>
  <si>
    <t>MAC007</t>
  </si>
  <si>
    <t>https://www.instagram.com/reel/DGy3HbsSkYy/?utm_source=ig_web_copy_link&amp;igsh=MzRlODBiNWFlZA==</t>
  </si>
  <si>
    <t>Today, we celebrate the incredible achievements of our #medschool learners who have completed their clerkship and those who have matched to a residency program!</t>
  </si>
  <si>
    <t>MAC008</t>
  </si>
  <si>
    <t>https://www.instagram.com/p/DHJqawAvuwl/?utm_source=ig_web_copy_link&amp;igsh=MzRlODBiNWFlZA==</t>
  </si>
  <si>
    <t xml:space="preserve">e are proud to be one of the world’s best universities at which to study life sciences and medicine 
McMaster has been ranked 59th internationally, according to the 2025 QS World University Rankings by subject </t>
  </si>
  <si>
    <t>MAC009</t>
  </si>
  <si>
    <t>https://www.instagram.com/reel/DH4BvXVPbB0/?utm_source=ig_web_copy_link&amp;igsh=MzRlODBiNWFlZA==</t>
  </si>
  <si>
    <t>Nicole Malette knows a thing or two — or three! — about co-op and hands-on learning
The fifth-year Chemical Biology student shares three big takeaways from her co-op and experiential learning opportunities</t>
  </si>
  <si>
    <t>MAC010</t>
  </si>
  <si>
    <t>https://www.instagram.com/reel/DH8sUefgXF8/?utm_source=ig_web_copy_link&amp;igsh=MzRlODBiNWFlZA==</t>
  </si>
  <si>
    <t>Meet Curran, a first-year political science student.
He says a high school co-op helped him figure out what he wanted to study at McMaster. And now, as he gets set to wrap up his first year, he shares how his L1 experience has helped him get set for what’s next.</t>
  </si>
  <si>
    <t>MAC011</t>
  </si>
  <si>
    <t>https://www.instagram.com/p/DIwy8wiPma-/?utm_source=ig_web_copy_link&amp;igsh=MzRlODBiNWFlZA==</t>
  </si>
  <si>
    <t>Our success story began in a university lab, and with support like this, more Ontario students can bring life-changing solutions to impact the lives of others.”  
@mcmastereng grad Lianna Genovese and CEO of @imaginable.solutions on announcement of $750M in provincial funding for STEM students across the province.</t>
  </si>
  <si>
    <t>MAC012</t>
  </si>
  <si>
    <t>https://www.instagram.com/p/DJEsJqhP6Y-/?utm_source=ig_web_copy_link&amp;igsh=MzRlODBiNWFlZA==</t>
  </si>
  <si>
    <t xml:space="preserve">Laura Jurgeleviciute jokes that she could write a book for the incoming McMaster students she met as a volunteer for @macssc’s International Student Buddy Program.  
She had to navigate immigrations, housing and student supports when she arrived at McMaster from Lithuania, so she knew how to help incoming international students.  </t>
  </si>
  <si>
    <t>MAC013</t>
  </si>
  <si>
    <t>https://www.instagram.com/reel/DJmL_z0N1U4/?utm_source=ig_web_copy_link&amp;igsh=MzRlODBiNWFlZA==</t>
  </si>
  <si>
    <t>To everyone who joined us—thank you for bringing your energy, your questions and your curiosity. From tours and info sessions to casual campus strolls, it was amazing to see future Marauders imagining their next chapter at McMaster. 💼</t>
  </si>
  <si>
    <t>MAC014</t>
  </si>
  <si>
    <t>https://www.instagram.com/reel/DKNE8j9xy1l/?utm_source=ig_web_copy_link&amp;igsh=MzRlODBiNWFlZA==</t>
  </si>
  <si>
    <t>More than 1,000 Health Sciences graduates crossed the stage during the Spring 2025 Convocation ceremonies, representing 32 undergraduate and graduate programs.
Valedictorian Alador Bereketab shared an inspiring message about resilience and how small acts can lead to meaningful change.</t>
  </si>
  <si>
    <t>MAC015</t>
  </si>
  <si>
    <t>https://www.instagram.com/p/DJHOkZpAGXj/?utm_source=ig_web_copy_link&amp;igsh=MzRlODBiNWFlZA==</t>
  </si>
  <si>
    <t xml:space="preserve">randon English’s volunteering journey has been one of self-discovery, confidence building and forging meaningful connections.  
The @mcmastereng student, mentor and dedicated National Society of Black Engineers (NSBE) leader has created spaces where others feel seen, supported and inspired. 
 </t>
  </si>
  <si>
    <t>MAC016</t>
  </si>
  <si>
    <t>https://www.instagram.com/reel/DLCxoGWgeL3/?utm_source=ig_web_copy_link&amp;igsh=MzRlODBiNWFlZA==</t>
  </si>
  <si>
    <t xml:space="preserve">McMaster University has been ranked 14th in the world for global impact — a recognition of our community’s hard work in addressing the United Nations Sustainable Development Goals </t>
  </si>
  <si>
    <t>MAC017</t>
  </si>
  <si>
    <t>https://www.instagram.com/reel/DLSTHthsf9e/?utm_source=ig_web_copy_link&amp;igsh=MzRlODBiNWFlZA==</t>
  </si>
  <si>
    <t>McMaster researchers have developed a new material that could accelerate medical research and drug discovery by making it easier to 3D print soft, realistic tissue models.</t>
  </si>
  <si>
    <t>MAC018</t>
  </si>
  <si>
    <t>https://www.instagram.com/reel/DLYB2K-uqH3/?utm_source=ig_web_copy_link&amp;igsh=MzRlODBiNWFlZA==</t>
  </si>
  <si>
    <t>Our intern, Josue Reano Navarro, recently became the newest McMaster alumnus in his family—marking three generations of McMaster graduates. Follow him along as he walks across the stage to get his diploma! 🎓</t>
  </si>
  <si>
    <t>MAC019</t>
  </si>
  <si>
    <t>https://www.instagram.com/p/DMN-cPSvdrA/?utm_source=ig_web_copy_link&amp;igsh=MzRlODBiNWFlZA==</t>
  </si>
  <si>
    <t xml:space="preserve">Elizabeth dos Santos and her daughter, Nathalia Reyes, inspired each other to pursue degrees at McMaster, years apart.
They got to celebrate together in a surprise moment at the @lanmumcmaster Latin American/Latinx Student Graduate Celebration this year. </t>
  </si>
  <si>
    <t>MAC020</t>
  </si>
  <si>
    <t>https://www.instagram.com/p/DMflHBuRJKS/?utm_source=ig_web_copy_link&amp;igsh=MzRlODBiNWFlZA==</t>
  </si>
  <si>
    <t>Now, Shobain is a doctor working with some of the biggest names in football, including Cristiano Ronaldo, and he credits his fellowship at McMaster University for helping him on his journey.</t>
  </si>
  <si>
    <t>MAC021</t>
  </si>
  <si>
    <t>https://www.instagram.com/reel/DMdoKLRAnbQ/?utm_source=ig_web_copy_link&amp;igsh=MzRlODBiNWFlZA==</t>
  </si>
  <si>
    <t>Lights 🎥 Camera 🌸 Beautiful backdrop!
McMaster’s campus has served as a filming location for many movies and TV shows over the years.
Here’s what a few of those scenes look like 🎬</t>
  </si>
  <si>
    <t>MAC022</t>
  </si>
  <si>
    <t>https://www.instagram.com/p/DNYkBHlxix6/?utm_source=ig_web_copy_link&amp;igsh=MzRlODBiNWFlZA==</t>
  </si>
  <si>
    <t>Myra, a fourth-year biochemistry student and Ryan, a first-year medical student, dedicated to building bridges between students and the communities they hope to serve.
The duo has teamed up to secure funding, rally volunteers and assemble 200 kits of high-demand hygiene products for people in need across #Hamilton, #Niagara and #Waterloo.</t>
  </si>
  <si>
    <t>MAC023</t>
  </si>
  <si>
    <t>https://www.instagram.com/p/DNgWKWXvMcE/?utm_source=ig_web_copy_link&amp;igsh=MzRlODBiNWFlZA==</t>
  </si>
  <si>
    <t xml:space="preserve">All summer long, McMaster students have been busy working on campus in a variety of roles.  
First up in our summer job spotlight series is Sam! </t>
  </si>
  <si>
    <t>MAC024</t>
  </si>
  <si>
    <t>https://www.instagram.com/p/DNq8uKc4nqO/?utm_source=ig_web_copy_link&amp;igsh=MzRlODBiNWFlZA==</t>
  </si>
  <si>
    <t xml:space="preserve">This week, we welcomed international students to McMaster through the Ignite Program. Today marks the last day of Ignite, and these incoming students have had the opportunity to explore campus, residence and downtown Hamiton, as well as learn about on-campus supports, connect with peers and meet faculty members. Swipe for some highlights! 
</t>
  </si>
  <si>
    <t>MAC025</t>
  </si>
  <si>
    <t>https://www.instagram.com/reel/C_s3A92xw5z/?utm_source=ig_web_copy_link&amp;igsh=MzRlODBiNWFlZA==</t>
  </si>
  <si>
    <t>With all this great energy on campus, we want to know, what are you most excited about this year?
✅ Meeting new people
✅ Exploring student clubs
Check our newsletter for opportunities to make both things happen in September.</t>
  </si>
  <si>
    <t>MAC026</t>
  </si>
  <si>
    <t>https://www.instagram.com/reel/C_dQMl4Oy3u/?utm_source=ig_web_copy_link&amp;igsh=MzRlODBiNWFlZA==</t>
  </si>
  <si>
    <t>It’s your time now. Welcome to Mac!
Fashions change, filters change, campus sure has changed.
But one rock-solid fact stands the
test of time: Our students are the best!
Welcome to the new school year. We’re proud to be
part of your journey.</t>
  </si>
  <si>
    <t>MAC027</t>
  </si>
  <si>
    <t>https://www.instagram.com/reel/DARTKNIvN3P/?utm_source=ig_web_copy_link&amp;igsh=MzRlODBiNWFlZA==</t>
  </si>
  <si>
    <t>Marauders, it’s nearly Homecoming time! Have an amazing day enjoying the football and festivities on campus. Please take care of yourselves, avoid fines and keep the celebrations safe and respectful.
Link in bio for more information</t>
  </si>
  <si>
    <t>MAC028</t>
  </si>
  <si>
    <t>https://www.instagram.com/p/DBZdBxFyxwp/?utm_source=ig_web_copy_link&amp;igsh=MzRlODBiNWFlZA==</t>
  </si>
  <si>
    <t>Milo and seven other undergraduate students had the opportunity to take their knowledge out into the field in Bamfield, British Columbia, studying coastal invasive species and how to reduce negative impacts on local ecosystems. This two-week experiential learning opportunity, supported by the Student Success Centre an</t>
  </si>
  <si>
    <t>MAC029</t>
  </si>
  <si>
    <t>https://www.instagram.com/reel/DBeV-6PRrjS/?utm_source=ig_web_copy_link&amp;igsh=MzRlODBiNWFlZA==</t>
  </si>
  <si>
    <t xml:space="preserve">McMaster’s Fall Preview Open House is THIS Saturday! 
Join us this Saturday, October 26 from 10:00am - 4:00pm to explore our campus, learn about our programs, and discover what it’s like to live and learn at Mac. It’s basically your all access pass to the university to get all your questions answered! 
 </t>
  </si>
  <si>
    <t>MAC030</t>
  </si>
  <si>
    <t>https://www.instagram.com/reel/DBy8SArxam0/?utm_source=ig_web_copy_link&amp;igsh=MzRlODBiNWFlZA==</t>
  </si>
  <si>
    <t>From Rio de Janeiro, Brazil ➡️ Hamilton, Ontario; Carolinna chose McMaster as the next step on her educational journey, joining us this past September 2024 in our Integrated Science program.</t>
  </si>
  <si>
    <t>MAC031</t>
  </si>
  <si>
    <t>https://www.instagram.com/reel/DCZqe3LyXup/?utm_source=ig_web_copy_link&amp;igsh=MzRlODBiNWFlZA==</t>
  </si>
  <si>
    <t xml:space="preserve">5 Things to Know for our Fall Preview Open House happening TOMORROW!🎉 
We are so excited to welcome you to our second Fall Preview Open House. You’ll have the opportunity to learn more about our programs, tour classrooms and residences, meet students, faculty, and staff, and get all your questions answered. </t>
  </si>
  <si>
    <t>MAC032</t>
  </si>
  <si>
    <t>https://www.instagram.com/reel/DCjz2lxPHH6/?utm_source=ig_web_copy_link&amp;igsh=MzRlODBiNWFlZA==</t>
  </si>
  <si>
    <t>Join me for a glimpse into my life as a psychology student, where Wednesdays are my busiest and most exciting days! -Aditi, your McMaster Content Creator</t>
  </si>
  <si>
    <t>MAC033</t>
  </si>
  <si>
    <t>https://www.instagram.com/p/DCr4djdvi-B/?utm_source=ig_web_copy_link&amp;igsh=MzRlODBiNWFlZA==</t>
  </si>
  <si>
    <t>Congratulations, Marauders! You did it!🎉
We were so delighted to celebrate your hard work and accomplishments at fall Convocation this week.</t>
  </si>
  <si>
    <t>MAC034</t>
  </si>
  <si>
    <t>https://www.instagram.com/reel/DDZxB4ev4au/?utm_source=ig_web_copy_link&amp;igsh=MzRlODBiNWFlZA==</t>
  </si>
  <si>
    <t>For me, my first year at McMaster was all about figuring out the direction I wanted to take. Here’s how some of my favourite academic experiences helped me figure which courses to take, and which path to pursue.</t>
  </si>
  <si>
    <t>MAC035</t>
  </si>
  <si>
    <t>https://www.instagram.com/p/DDuhfEvvOLA/?utm_source=ig_web_copy_link&amp;igsh=MzRlODBiNWFlZA==</t>
  </si>
  <si>
    <t>rom supporting those living with disabilities to inspiring a new generation of scientists, our students worked hard in many different ways to make positive change here on campus and beyond.
Find 10 ways McMaster students helped make a brighter world in 2024 at the link in bio🔗</t>
  </si>
  <si>
    <t>MAC036</t>
  </si>
  <si>
    <t>https://www.instagram.com/reel/DD7zWK3Pha8/?utm_source=ig_web_copy_link&amp;igsh=MzRlODBiNWFlZA==</t>
  </si>
  <si>
    <t>Thanks for another great year, Marauders! We can’t wait for what 2025 will bring.  
✨
Until then, we wish you a safe and restful holiday break.
❄️
Campus closure and start of term info at the link in bio.</t>
  </si>
  <si>
    <t>YRK001</t>
  </si>
  <si>
    <t>York University</t>
  </si>
  <si>
    <t>https://www.instagram.com/reel/DEXiPYyxPNe/?utm_source=ig_web_copy_link&amp;igsh=MzRlODBiNWFlZA==</t>
  </si>
  <si>
    <t>here are many student opportunities to explore at York U. Chloe, a student at our Keele Campus, traveled to Costa Rica for a study abroad course at our Las Nubes EcoCampus. Check out some of these highlights from her trip! | #YorkU</t>
  </si>
  <si>
    <t>YRK002</t>
  </si>
  <si>
    <t>https://www.instagram.com/reel/DEqc_UFSQCu/?utm_source=ig_web_copy_link&amp;igsh=MzRlODBiNWFlZA==</t>
  </si>
  <si>
    <t>Want to know what it is like to join an incredible network of students creating positive change? See why they chose York U below! Apply for Fall 2025!</t>
  </si>
  <si>
    <t>YRK003</t>
  </si>
  <si>
    <t>https://www.instagram.com/reel/DFYV92Fyhhg/?utm_source=ig_web_copy_link&amp;igsh=MzRlODBiNWFlZA==</t>
  </si>
  <si>
    <t>Hear why International students chose to study at York University!
There is a place for you here in Canada! The fall term application deadline for out-of-province, transfer and international students is February 3, 2025. Apply now! 🇨🇦</t>
  </si>
  <si>
    <t>YRK004</t>
  </si>
  <si>
    <t>https://www.instagram.com/reel/DGBjeJxyjBw/?utm_source=ig_web_copy_link&amp;igsh=MzRlODBiNWFlZA==</t>
  </si>
  <si>
    <t>Black Excellence at York University (BE YU) is a program that provides Black students with the support they need to transition to university life and maximize their student experience.</t>
  </si>
  <si>
    <t>YRK005</t>
  </si>
  <si>
    <t>https://www.instagram.com/reel/DGWI1psySOO/?utm_source=ig_web_copy_link&amp;igsh=MzRlODBiNWFlZA==</t>
  </si>
  <si>
    <t>e set up a mic on our Keele campus and asked York U students to share something good that happened to them that day. Here is what they had to say!</t>
  </si>
  <si>
    <t>YRK006</t>
  </si>
  <si>
    <t>https://www.instagram.com/reel/DGlmSzgSMrM/?utm_source=ig_web_copy_link&amp;igsh=MzRlODBiNWFlZA==</t>
  </si>
  <si>
    <t>Before to After! Our landmark building Vari Hall was not always a staple on York U’s Keele Campus. From humble beginnings to an iconic landmark, see how our campus evolved over time!</t>
  </si>
  <si>
    <t>YRK007</t>
  </si>
  <si>
    <t>https://www.instagram.com/reel/DG6ImEDx9R-/?utm_source=ig_web_copy_link&amp;igsh=MzRlODBiNWFlZA==</t>
  </si>
  <si>
    <t>When the social team comes around, Yeo pulls out all of the stops to entertain his fellow Lions! Show Yeo some love in the comments</t>
  </si>
  <si>
    <t>YRK008</t>
  </si>
  <si>
    <t>https://www.instagram.com/reel/DHV_YE-RbQM/?utm_source=ig_web_copy_link&amp;igsh=MzRlODBiNWFlZA==</t>
  </si>
  <si>
    <t>James recommends York U for any students looking to gain valuable work experience while studying. York’s Work/Study Program offers eligible undergraduate students paid, on-campus positions that help develop professional skills, increase employability, and contribute to the university. | #</t>
  </si>
  <si>
    <t>YRK009</t>
  </si>
  <si>
    <t>https://www.instagram.com/p/DHtoEZ0Otzs/?utm_source=ig_web_copy_link&amp;igsh=MzRlODBiNWFlZA==</t>
  </si>
  <si>
    <t>ork University provides students with ample opportunities to develop professional skills while learning the value of unique approaches to research, design, and problem solving.</t>
  </si>
  <si>
    <t>YRK010</t>
  </si>
  <si>
    <t>https://www.instagram.com/p/DIEUWnMsy6f/?utm_source=ig_web_copy_link&amp;igsh=MzRlODBiNWFlZA==</t>
  </si>
  <si>
    <t>York University recently hosted its inaugural tournament for high school basketball teams in Lagos, Nigeria! This event is a testament to York’s mission of fostering inclusivity and community engagement on a global scale.</t>
  </si>
  <si>
    <t>YRK011</t>
  </si>
  <si>
    <t>https://www.instagram.com/p/DIek5R9sgIi/?utm_source=ig_web_copy_link&amp;igsh=MzRlODBiNWFlZA==</t>
  </si>
  <si>
    <t>Our York University Women’s and Men’s Varsity Basketball teams recently had the incredible opportunity to train at the Raptors x IBM Basketball Court!</t>
  </si>
  <si>
    <t>YRK012</t>
  </si>
  <si>
    <t>https://www.instagram.com/reel/DJCILHgOJz5/?utm_source=ig_web_copy_link&amp;igsh=MzRlODBiNWFlZA==</t>
  </si>
  <si>
    <t>eady to take the next step in your career?
Stop by the bold School of Continuing Studies building— a symbol of ambition and next-level learning. Celebrating 10 years of turning “what if” into “what’s next” — and it is just getting started.</t>
  </si>
  <si>
    <t>YRK013</t>
  </si>
  <si>
    <t>https://www.instagram.com/reel/DJg7iSSRaUx/?utm_source=ig_web_copy_link&amp;igsh=MzRlODBiNWFlZA==</t>
  </si>
  <si>
    <t>Mother. Survivor. Advocate. Watch Cassandra’s inspiring story on how she overcame insurmountable obstacles to attend York U. And now through her education and experience is creating positive change and raising awareness through public speaking. | #YUPositiveChange #MothersDay</t>
  </si>
  <si>
    <t>YRK014</t>
  </si>
  <si>
    <t>https://www.instagram.com/reel/DJ4ynQPyisG/?utm_source=ig_web_copy_link&amp;igsh=MzRlODBiNWFlZA==</t>
  </si>
  <si>
    <t>York U Lions X @Raptors takeover and the IBM Practice Court 🏀</t>
  </si>
  <si>
    <t>YRK015</t>
  </si>
  <si>
    <t>https://www.instagram.com/reel/DJrwYjfR7po/?utm_source=ig_web_copy_link&amp;igsh=MzRlODBiNWFlZA==</t>
  </si>
  <si>
    <t>NA</t>
  </si>
  <si>
    <t>Congratulations to York’s 2025 Top 30 Alumni Under 30 recipients! This group of remarkable young alumni are making a global impact and inspiring the next generation of leaders. #YorkUTop30 #YorkU</t>
  </si>
  <si>
    <t>YRK016</t>
  </si>
  <si>
    <t>https://www.instagram.com/p/DLAfCO8R2aT/?utm_source=ig_web_copy_link&amp;igsh=MzRlODBiNWFlZA==</t>
  </si>
  <si>
    <t xml:space="preserve">Meet Aila Narimani, this year’s recipient of York U’s prestigious Murray G. Ross Award! From student governance to global advocacy, Aila’s impact has been profound, and now she’s setting her sights on a future in dentistry rooted in care and accessibility. | </t>
  </si>
  <si>
    <t>YRK017</t>
  </si>
  <si>
    <t>https://www.instagram.com/reel/DLFiIXNAgBU/?utm_source=ig_web_copy_link&amp;igsh=MzRlODBiNWFlZA==</t>
  </si>
  <si>
    <t>From Congo to Canada, one father’s dream became a family legacy. Learn more about the Serufuli family and their shared journey of resilience and education. Since 2018, eight of the nine siblings have attended Glendon Campus at York U | #YorkUConvo</t>
  </si>
  <si>
    <t>YRK018</t>
  </si>
  <si>
    <t>https://www.instagram.com/reel/DLU1-pxg3ow/?utm_source=ig_web_copy_link&amp;igsh=MzRlODBiNWFlZA==</t>
  </si>
  <si>
    <t>Former Raptors head coach Nick Nurse received an honorary doctorate at convocation last week! Hear what he had to share with the class of 2025! | #YorkUConvo @thenicknurse</t>
  </si>
  <si>
    <t>YRK019</t>
  </si>
  <si>
    <t>https://www.instagram.com/p/DMfqtIdO7SA/?utm_source=ig_web_copy_link&amp;igsh=MzRlODBiNWFlZA==</t>
  </si>
  <si>
    <t xml:space="preserve">ow It Started vs. How It's Going: Sobeys Stadium at York U is the home of Canada's top tennis tournament, the National Bank Open, which begins this weekend! The stadium was built to replace the old National Tennis Centre, which was located on the north east side of Keele Campus, and was demolished in 2003. </t>
  </si>
  <si>
    <t>YRK020</t>
  </si>
  <si>
    <t>https://www.instagram.com/reel/DMs8Xn-xUHs/?utm_source=ig_web_copy_link&amp;igsh=MzRlODBiNWFlZA==</t>
  </si>
  <si>
    <t>York U celebrates another milestone with the unveiling of a new sign for the future School of Medicine building next to Cortellucci Vaughan Hospital, and signed a partnership with the Ontario Centre of Innovation toward fostering health-care innovation. | #YorkUMedicine</t>
  </si>
  <si>
    <t>YRK021</t>
  </si>
  <si>
    <t>https://www.instagram.com/p/DMvOVgiOTNg/?utm_source=ig_web_copy_link&amp;igsh=MzRlODBiNWFlZA==</t>
  </si>
  <si>
    <t>There’s something special about the bonds formed on campus, like an unlikely friendship between a lion and a raptor. Tag your York U bestie in the comments. | #InternationalFriendshipDay</t>
  </si>
  <si>
    <t>YRK022</t>
  </si>
  <si>
    <t>https://www.instagram.com/reel/DN0iBFT5BpY/?utm_source=ig_web_copy_link&amp;igsh=MzRlODBiNWFlZA==</t>
  </si>
  <si>
    <t xml:space="preserve">eady to meet like-minded individuals and get ready for campus life? Make the beginning of your year memorable by joining the many orientation events happening at York U this week! </t>
  </si>
  <si>
    <t>YRK023</t>
  </si>
  <si>
    <t>https://www.instagram.com/reel/DN6Uxvwipn-/?utm_source=ig_web_copy_link&amp;igsh=MzRlODBiNWFlZA==</t>
  </si>
  <si>
    <t>Move-In Day at York University was a huge success! We welcomed over 1400 student residents across all three campuses. Thank you to the York U community for helping make our new lions feel safe, supported, and at home. 📦 | #StartStrongYU</t>
  </si>
  <si>
    <t>YRK024</t>
  </si>
  <si>
    <t>https://www.instagram.com/reel/DNDnHcTBTUm/?utm_source=ig_web_copy_link&amp;igsh=MzRlODBiNWFlZA==</t>
  </si>
  <si>
    <t xml:space="preserve">Incoming students, we are excited to welcome you to our York U campuses this September. Until then, we hope you are enjoying the summer. </t>
  </si>
  <si>
    <t>YRK025</t>
  </si>
  <si>
    <t>https://www.instagram.com/reel/C_lcsTASsB0/?utm_source=ig_web_copy_link&amp;igsh=MzRlODBiNWFlZA==</t>
  </si>
  <si>
    <t>We had a fantastic time at our orientation week events alongside our incoming first year students! We can’t wait to make more memories together this school year, Lions! 🦁 📓 | #YorkU #StartStrongYU</t>
  </si>
  <si>
    <t>YRK026</t>
  </si>
  <si>
    <t>https://www.instagram.com/reel/C_3purKy9fS/?utm_source=ig_web_copy_link&amp;igsh=MzRlODBiNWFlZA==</t>
  </si>
  <si>
    <t>We checked in with York U students to find out what programs they are taking and here are their choices!
Let us know what program you are taking in the comments below. 📚💻 | #StartStrongYU #YorkU</t>
  </si>
  <si>
    <t>YRK027</t>
  </si>
  <si>
    <t>https://www.instagram.com/reel/DAG5_60RhGS/?utm_source=ig_web_copy_link&amp;igsh=MzRlODBiNWFlZA==</t>
  </si>
  <si>
    <t>We asked the York student community:
What are you looking forward to most this school year? Here’s what they had to say!
How about you? Let us know in the comments below. 📚💻 | #StartStrongYU #YorkU</t>
  </si>
  <si>
    <t>YRK028</t>
  </si>
  <si>
    <t>https://www.instagram.com/reel/DAqljMgvEJ6/?utm_source=ig_web_copy_link&amp;igsh=MzRlODBiNWFlZA==</t>
  </si>
  <si>
    <t>Stop by York University’s booth at Ontario Universities Fair, happening on Oct 5-6 at the Metro Toronto Convention Centre. Explore our programs, ask questions to our admissions staff, and meet current students. 🦁| #YorkU #OUF2024</t>
  </si>
  <si>
    <t>YRK029</t>
  </si>
  <si>
    <t>https://www.instagram.com/reel/DBRmO1bvkdx/?utm_source=ig_web_copy_link&amp;igsh=MzRlODBiNWFlZA==</t>
  </si>
  <si>
    <t xml:space="preserve">We asked the York University class of 2024, what is one word to describe your university experience? Here’s what they had to say! 🎓🦁| #YorkUConvo #MeetYU
</t>
  </si>
  <si>
    <t>YRK030</t>
  </si>
  <si>
    <t>https://www.instagram.com/reel/DBjMoV1ROCr/?utm_source=ig_web_copy_link&amp;igsh=MzRlODBiNWFlZA==</t>
  </si>
  <si>
    <t xml:space="preserve">Rayyan Ahmed, a recipient of the Lassonde Scholarship, creates positive change through outstanding academic achievements, creative thinking and leadership within their community. 🦁🙌 </t>
  </si>
  <si>
    <t>YRK031</t>
  </si>
  <si>
    <t>https://www.instagram.com/reel/DB1yQVVSHIY/?utm_source=ig_web_copy_link&amp;igsh=MzRlODBiNWFlZA==</t>
  </si>
  <si>
    <t>Lucas, a first year York University Psychology student, had no idea he had won free tuition for the year when he arrived to class. Check out his reaction to the surprise! 🦁✨
Visit us at Fall Campus Day for a chance to be our next free tuition winner:</t>
  </si>
  <si>
    <t>YRK032</t>
  </si>
  <si>
    <t>https://www.instagram.com/p/DB9owdVyGUd/?utm_source=ig_web_copy_link&amp;igsh=MzRlODBiNWFlZA==</t>
  </si>
  <si>
    <t>The future of higher-ed has arrived in the City of Markham and York Region! We are proud to celebrate the grand opening of York University’s Markham Campus. | #YorkU #YorkUMarkham</t>
  </si>
  <si>
    <t>YRK033</t>
  </si>
  <si>
    <t>https://www.instagram.com/p/DCr0yCHvcnk/?utm_source=ig_web_copy_link&amp;igsh=MzRlODBiNWFlZA==</t>
  </si>
  <si>
    <t>York U graduates were excited to celebrate York's official partnership with the Toronto Raptors at our Fall convocation ceremonies. The York alumni community exhibits our belief in the power of teamwork while living our shared values of equity, inclusion and excellence. 🏀 🦁 | #YorkUConvo</t>
  </si>
  <si>
    <t>YRK034</t>
  </si>
  <si>
    <t>https://www.instagram.com/reel/DDFpMigyx0G/?utm_source=ig_web_copy_link&amp;igsh=MzRlODBiNWFlZA==</t>
  </si>
  <si>
    <t>Discover your Path at York University! York provides many opportunities to enrich your student experience. Hear directly from students who have benefitted from experiential education opportunities, student clubs and organizations, on-campus jobs and more! Follow the hashtag to discover how you can create positive change at York U. | #YUPathways</t>
  </si>
  <si>
    <t>YRK035</t>
  </si>
  <si>
    <t>https://www.instagram.com/reel/DDhdNm7RCkX/?utm_source=ig_web_copy_link&amp;igsh=MzRlODBiNWFlZA==</t>
  </si>
  <si>
    <t>Follow along for a day in Gira’s life as a Digital Technologies student at our new Markham Campus. Markham’s new Digital Technologies program is a fully work integrated learning program, allowing our students to gain quality work experience while studying. From lectures to work placement, this is Gira’s path at York U.</t>
  </si>
  <si>
    <t>YRK036</t>
  </si>
  <si>
    <t>https://www.instagram.com/reel/DD-19HLPkG8/?utm_source=ig_web_copy_link&amp;igsh=MzRlODBiNWFlZA==</t>
  </si>
  <si>
    <t>Did you know that 90% of GTA employers who hired York U graduates were satisfied by their work? York U produces employees that are valued by their workplaces! | #YorkU</t>
  </si>
  <si>
    <t>TMU001</t>
  </si>
  <si>
    <t>Toronto Metropolitan University</t>
  </si>
  <si>
    <t>https://www.instagram.com/p/DEqMe3OBGL3/?utm_source=ig_web_copy_link&amp;igsh=MzRlODBiNWFlZA==</t>
  </si>
  <si>
    <t>TMU’s new Chancellor, Donette Chin-Loy Chang, has announced a generous donation of $1 million to support the Student Wellbeing Centre and care for students on our campus.</t>
  </si>
  <si>
    <t>TMU002</t>
  </si>
  <si>
    <t>https://www.instagram.com/p/DEvtKf9PxlW/?utm_source=ig_web_copy_link&amp;igsh=MzRlODBiNWFlZA==</t>
  </si>
  <si>
    <t>Since 2022, the SlimmDuck Foundation and TMU have partnered to offer the SlimmDuck Scholarship, supporting students of Caribbean descent enrolled in the Spanning the Gaps — Access to Post-Secondary Education program at The Chang School.</t>
  </si>
  <si>
    <t>TMU003</t>
  </si>
  <si>
    <t>https://www.instagram.com/reel/DFLmgWsPyDe/?utm_source=ig_web_copy_link&amp;igsh=MzRlODBiNWFlZA==</t>
  </si>
  <si>
    <t>The winter exhibitions at @imagecentreto are now open! Check out the gallery on Wednesdays from 12–8pm, or Thursday–Saturday from 12–6pm!</t>
  </si>
  <si>
    <t>TMU004</t>
  </si>
  <si>
    <t>https://www.instagram.com/p/DF5UpuGxsvm/?utm_source=ig_web_copy_link&amp;igsh=MzRlODBiNWFlZA==</t>
  </si>
  <si>
    <t>We are proud to share our 2025–2030 International Plan. Discover how we plan to attract and retain top international talent, provide exceptional learning experiences locally and globally, and foster transformative partnerships that address pressing global challenges. Learn more at torontomu.ca/international or visit our Strategic Plans highlight.</t>
  </si>
  <si>
    <t>TMU005</t>
  </si>
  <si>
    <t>https://www.instagram.com/p/DGBJK6xuhHg/?utm_source=ig_web_copy_link&amp;igsh=MzRlODBiNWFlZA==</t>
  </si>
  <si>
    <t>Start your road to TMU! 🛣️
Registration is now open for Choose TMU: Open House from 11 a.m. - 4 p.m. on Saturday, March 29, 2025.
Sign up today ➡️ torontomu.ca/open-house</t>
  </si>
  <si>
    <t>TMU006</t>
  </si>
  <si>
    <t>https://www.instagram.com/reel/DGeFxg3BMIO/?utm_source=ig_web_copy_link&amp;igsh=MzRlODBiNWFlZA==</t>
  </si>
  <si>
    <t>Madison talks about getting into content creation and manifesting her role with torontomet!</t>
  </si>
  <si>
    <t>TMU007</t>
  </si>
  <si>
    <t>https://www.instagram.com/reel/DGwTjCLh0ry/?utm_source=ig_web_copy_link&amp;igsh=MzRlODBiNWFlZA==</t>
  </si>
  <si>
    <t>Join Madison for her first few days on exchange in Australia! 🇦🇺</t>
  </si>
  <si>
    <t>TMU008</t>
  </si>
  <si>
    <t>https://www.instagram.com/reel/DHoP8wBu_po/?utm_source=ig_web_copy_link&amp;igsh=MzRlODBiNWFlZA==</t>
  </si>
  <si>
    <t>Explore our campus, meet your future community and discover why TMU is the right fit for you at our Open House on Saturday, March 29.</t>
  </si>
  <si>
    <t>TMU009</t>
  </si>
  <si>
    <t>https://www.instagram.com/reel/DHwaVhXhEuU/?utm_source=ig_web_copy_link&amp;igsh=MzRlODBiNWFlZA==</t>
  </si>
  <si>
    <t>Come discover your TMU point of view this Saturday, March 29 at our Open House!</t>
  </si>
  <si>
    <t>TMU010</t>
  </si>
  <si>
    <t>https://www.instagram.com/reel/DIKLs_hJvaB/?utm_source=ig_web_copy_link&amp;igsh=MzRlODBiNWFlZA==</t>
  </si>
  <si>
    <t>What are your favourite spots around campus? 🤔</t>
  </si>
  <si>
    <t>TMU011</t>
  </si>
  <si>
    <t>https://www.instagram.com/reel/DIwmQfVpruC/?utm_source=ig_web_copy_link&amp;igsh=MzRlODBiNWFlZA==</t>
  </si>
  <si>
    <t xml:space="preserve">Life at TMU - INCLUDING EVENTS, STUDENT LIFE, GAMES, LECTURES </t>
  </si>
  <si>
    <t>TMU012</t>
  </si>
  <si>
    <t>https://www.instagram.com/reel/DIylZzHOIk1/?utm_source=ig_web_copy_link&amp;igsh=MzRlODBiNWFlZA==</t>
  </si>
  <si>
    <t>Thinking about TMU? Here are five more reasons to make it official.
Head to our Approved Students page to find out how to accept your offer and what next steps to take.
➡️ torontomu.ca/approved-students</t>
  </si>
  <si>
    <t>TMU013</t>
  </si>
  <si>
    <t>https://www.instagram.com/p/DJmWvXwR8kb/?utm_source=ig_web_copy_link&amp;igsh=MzRlODBiNWFlZA==</t>
  </si>
  <si>
    <t>TMU Architectural Science professor Vincent Hui joins an extraordinary international team of architects, scientists, artists and educators – called Living Room Collective – to unveil the exhibit Picoplanktonics at the 19th International Architecture Exhibition in Venice, Italy.</t>
  </si>
  <si>
    <t>TMU014</t>
  </si>
  <si>
    <t>https://www.instagram.com/reel/DJ7TuT6pKaN/?utm_source=ig_web_copy_link&amp;igsh=MzRlODBiNWFlZA==</t>
  </si>
  <si>
    <t xml:space="preserve">NETWORKING EVENT </t>
  </si>
  <si>
    <t>TMU015</t>
  </si>
  <si>
    <t>https://www.instagram.com/reel/DJWztMDxu60/?utm_source=ig_web_copy_link&amp;igsh=MzRlODBiNWFlZA==</t>
  </si>
  <si>
    <t xml:space="preserve">TMU professors give graduating students some words of wisdom </t>
  </si>
  <si>
    <t>TMU016</t>
  </si>
  <si>
    <t>https://www.instagram.com/reel/DKaPJyXMZIl/?utm_source=ig_web_copy_link&amp;igsh=MzRlODBiNWFlZA==</t>
  </si>
  <si>
    <t>We’ve touched down in Japan with TMU for a one-of-a-kind student-led innovation mission at @expo2025japan 🇨🇦🇯🇵
20 students. One cross-cultural challenge. A pitch at the Canada Pavilion.
⁠</t>
  </si>
  <si>
    <t>TMU017</t>
  </si>
  <si>
    <t>https://www.instagram.com/p/DLAuJvwJEvx/?utm_source=ig_web_copy_link&amp;igsh=MzRlODBiNWFlZA==</t>
  </si>
  <si>
    <t>Convocation 2025 has officially begun! Our first set of graduates walked across the stage today. Congratulations to our new TMU alumni 🎓🎉</t>
  </si>
  <si>
    <t>TMU018</t>
  </si>
  <si>
    <t>https://www.instagram.com/reel/DLiOKTMvvHG/?utm_source=ig_web_copy_link&amp;igsh=MzRlODBiNWFlZA==</t>
  </si>
  <si>
    <t>Have you actually met the Dean? 👀 Most people don’t know what he really does... so we asked! Turns out, success isn’t just about jobs or grades — it’s about building bold, confident creatives ready to take on the world. And on Charles Falzon’s last day as Dean, we couldn’t think of a better time to share that.</t>
  </si>
  <si>
    <t>TMU019</t>
  </si>
  <si>
    <t>https://www.instagram.com/reel/DMvs-1ohM3w/?utm_source=ig_web_copy_link&amp;igsh=MzRlODBiNWFlZA==</t>
  </si>
  <si>
    <t>See you in September! - featuring a student around campus</t>
  </si>
  <si>
    <t>TMU020</t>
  </si>
  <si>
    <t>https://www.instagram.com/reel/DL2dYeyuike/?utm_source=ig_web_copy_link&amp;igsh=MzRlODBiNWFlZA==</t>
  </si>
  <si>
    <t>We're excited to be bringing the inaugural THE Global AI Summit to Toronto, in partnership with @torontomet this October!
The THE Global AI Summit 2025 is the premier international event that brings together leading minds from academia, industry and policy to explore AI’s most pressing challenges and groundbreaking advancements.</t>
  </si>
  <si>
    <t>TMU021</t>
  </si>
  <si>
    <t>https://www.instagram.com/reel/DMLalNcJxly/?utm_source=ig_web_copy_link&amp;igsh=MzRlODBiNWFlZA==</t>
  </si>
  <si>
    <t>The Summer Open Farm on the DCC rooftop is open every Wednesday from 11am-2pm until Sept 24! Make your own bouquet, grab a lemonade, pick up some fresh produce, or just bring your lunch and enjoy the view ☀️</t>
  </si>
  <si>
    <t>TMU022</t>
  </si>
  <si>
    <t>https://www.instagram.com/reel/DND-6zspCOk/?utm_source=ig_web_copy_link&amp;igsh=MzRlODBiNWFlZA==</t>
  </si>
  <si>
    <t>Did you know about these spots? Visit torontomu.ca/tours 🗺️ to learn how you can discover TMU for yourself.</t>
  </si>
  <si>
    <t>TMU023</t>
  </si>
  <si>
    <t>https://www.instagram.com/reel/DNjLsgySx8e/?utm_source=ig_web_copy_link&amp;igsh=MzRlODBiNWFlZA==</t>
  </si>
  <si>
    <t>ur inaugural MD class is dedicated to healthy change. Hear what it means to them, and how they hope to transform healthcare. #TMUmed</t>
  </si>
  <si>
    <t>TMU024</t>
  </si>
  <si>
    <t>https://www.instagram.com/reel/DN3LNMaYoGE/?utm_source=ig_web_copy_link&amp;igsh=MzRlODBiNWFlZA==</t>
  </si>
  <si>
    <t>Best. Orientation. Ever. And there’s still so much more to go! 🎉💙💛
Check out some of our favourite moments from Invocation, Toronto Met Gala Fashion Show, the Street Festival and Carnival in the Quad!
What’s been your favourite moment so far?? Tag a new friend you’ve made in the comments! 🫶🥰</t>
  </si>
  <si>
    <t>TMU025</t>
  </si>
  <si>
    <t>https://www.instagram.com/reel/C_ylLUchX8L/?utm_source=ig_web_copy_link&amp;igsh=MzRlODBiNWFlZA==</t>
  </si>
  <si>
    <t>4 THINGS EACH TMU STUDENT SHOULD KNOW</t>
  </si>
  <si>
    <t>TMU026</t>
  </si>
  <si>
    <t>https://www.instagram.com/reel/DAbded2pUTj/?utm_source=ig_web_copy_link&amp;igsh=MzRlODBiNWFlZA==</t>
  </si>
  <si>
    <t>xciting news! TMU School of Medicine has officially been granted preliminary accreditation by the Committee on Accreditation of Canadian Medical Schools (CACMS) for its MD program. This milestone makes TMU the 18th accredited medical school in Canada.</t>
  </si>
  <si>
    <t>TMU027</t>
  </si>
  <si>
    <t>https://www.instagram.com/reel/C_lJvgRpXje/?utm_source=ig_web_copy_link&amp;igsh=MzRlODBiNWFlZA==</t>
  </si>
  <si>
    <t xml:space="preserve">What are your goals this semester? </t>
  </si>
  <si>
    <t>TMU028</t>
  </si>
  <si>
    <t>https://www.instagram.com/p/DAvxUHypt1R/?utm_source=ig_web_copy_link&amp;igsh=MzRlODBiNWFlZA==</t>
  </si>
  <si>
    <t>Ready for an exciting weekend at OUF! We can’t wait to meet prospective TMU students and share what it means to be Bold!</t>
  </si>
  <si>
    <t>TMU029</t>
  </si>
  <si>
    <t>https://www.instagram.com/p/DBMq0maBKTu/?utm_source=ig_web_copy_link&amp;igsh=MzRlODBiNWFlZA==</t>
  </si>
  <si>
    <t>Congratulations to all of our graduates who crossed the stage this fall! 🎓</t>
  </si>
  <si>
    <t>TMU030</t>
  </si>
  <si>
    <t>https://www.instagram.com/reel/DBt7ZQfpzt_/?utm_source=ig_web_copy_link&amp;igsh=MzRlODBiNWFlZA==</t>
  </si>
  <si>
    <t>Join us on Saturday, Nov. 9 from 11am-4pm to discover Toronto Metropolitan University!
Register today at torontomu.ca/open-house</t>
  </si>
  <si>
    <t>TMU031</t>
  </si>
  <si>
    <t>https://www.instagram.com/reel/DCE0olCJxwh/?utm_source=ig_web_copy_link&amp;igsh=MzRlODBiNWFlZA==</t>
  </si>
  <si>
    <t>TMU students are dreaming big post-grad 💭</t>
  </si>
  <si>
    <t>TMU032</t>
  </si>
  <si>
    <t>https://www.instagram.com/reel/DCo_qZHRpJA/?utm_source=ig_web_copy_link&amp;igsh=MzRlODBiNWFlZA==</t>
  </si>
  <si>
    <t>Aliyaan takes us through a day in the life during his time on exchange in Australia 🇦🇺</t>
  </si>
  <si>
    <t>TMU033</t>
  </si>
  <si>
    <t>https://www.instagram.com/p/DC4d8_8Jrat/?utm_source=ig_web_copy_link&amp;igsh=MzRlODBiNWFlZA==</t>
  </si>
  <si>
    <t>Moez and Marissa Kassam, through their Moez &amp; Marissa Kassam Equity Fund, have made a landmark $5-million investment in the future of health care at the TMU School of Medicine.</t>
  </si>
  <si>
    <t>TMU034</t>
  </si>
  <si>
    <t>https://www.instagram.com/reel/DDF2cw7Be-7/?utm_source=ig_web_copy_link&amp;igsh=MzRlODBiNWFlZA==</t>
  </si>
  <si>
    <t>Come down to Gould Street for a holiday celebration on Dec 3!</t>
  </si>
  <si>
    <t>TMU035</t>
  </si>
  <si>
    <t>https://www.instagram.com/reel/DDIU-xJhbHB/?utm_source=ig_web_copy_link&amp;igsh=MzRlODBiNWFlZA==</t>
  </si>
  <si>
    <t xml:space="preserve">ASKING STUDENTS AROUND CAMPUS HOW MANY EXAMS DO U HAVE ? </t>
  </si>
  <si>
    <t>TMU036</t>
  </si>
  <si>
    <t>https://www.instagram.com/p/DDMx-qexTVy/?utm_source=ig_web_copy_link&amp;igsh=MzRlODBiNWFlZA==</t>
  </si>
  <si>
    <t>A $10M gift from Jack Cockwell and Brookfield Partners Foundation is making it possible for TMU to expand its campus footprint with a partial acquisition of 2 Queen Street East.</t>
  </si>
  <si>
    <t>WAT001</t>
  </si>
  <si>
    <t>University of Waterloo</t>
  </si>
  <si>
    <t>https://www.instagram.com/p/DEm95EeOwcC/?utm_source=ig_web_copy_link&amp;igsh=MzRlODBiNWFlZA==</t>
  </si>
  <si>
    <t xml:space="preserve">Now and then! A look back at the library help desks inside both the Davis Centre and Dana Porter Libraries! </t>
  </si>
  <si>
    <t>WAT002</t>
  </si>
  <si>
    <t>https://www.instagram.com/p/DFahTQsua9f/?utm_source=ig_web_copy_link&amp;igsh=MzRlODBiNWFlZA==</t>
  </si>
  <si>
    <t>We are proud to introduce the 2025 Global Futures: Innovation Update, where #UWaterloo community members are working together to uncover solutions for the future.
Meet the bold and curious pioneers who are stepping forward with innovative solutions.</t>
  </si>
  <si>
    <t>WAT003</t>
  </si>
  <si>
    <t>https://www.instagram.com/reel/DFfnMm1uY1d/?utm_source=ig_web_copy_link&amp;igsh=MzRlODBiNWFlZA==</t>
  </si>
  <si>
    <t>Imagine a camera 📷 so sensitive it can detect individual photons of light. 💡That’s the ambitious goal of @quantum_iqc PhD students and Vanier Scholars, Sarah Odinotski and Jack deGooyer.</t>
  </si>
  <si>
    <t>WAT004</t>
  </si>
  <si>
    <t>https://www.instagram.com/reel/DFp9BamuEdA/?utm_source=ig_web_copy_link&amp;igsh=MzRlODBiNWFlZA==</t>
  </si>
  <si>
    <t>Master’s student and founder of CELLECT., CT Murphy, is on a mission to improve health screenings by using menstrual products as a diagnostic tool that could replace invasive Pap smears as a non-invasive alternative.</t>
  </si>
  <si>
    <t>WAT005</t>
  </si>
  <si>
    <t>https://www.instagram.com/p/DGOJvO1urlG/?utm_source=ig_web_copy_link&amp;igsh=MzRlODBiNWFlZA==</t>
  </si>
  <si>
    <t>We are thrilled to share that #UWaterloo has been ranked #97 globally in the @timeshighered (THE) 2025 World Reputation Rankings - a significant recognition of our university’s excellence in research, innovation, and teaching.</t>
  </si>
  <si>
    <t>WAT006</t>
  </si>
  <si>
    <t>https://www.instagram.com/p/DGYhqFxggP3/?utm_source=ig_web_copy_link&amp;igsh=MzRlODBiNWFlZA==</t>
  </si>
  <si>
    <t>As a PhD student in Waterloo Math, Sefah Frimpong was attracted to Waterloo after working as a mentee under Professor Chris Bauch. Throughout his degree, he has prioritized a balanced life, and is combining creativity, innovation, and technical expertise to tackle real-world challenges and shape the future of technology.</t>
  </si>
  <si>
    <t>WAT007</t>
  </si>
  <si>
    <t>https://www.instagram.com/p/DG3WWSjuOJL/?utm_source=ig_web_copy_link&amp;igsh=MzRlODBiNWFlZA==</t>
  </si>
  <si>
    <t>During a co-op work term at SickKids, two #UWaterloo science students, @murtohilali and @kr.iti.ka used the power of AI and genetic analysis to explore the root causes of cerebral palsy.</t>
  </si>
  <si>
    <t>WAT008</t>
  </si>
  <si>
    <t>https://www.instagram.com/p/DHGypQCOut8/?utm_source=ig_web_copy_link&amp;igsh=MzRlODBiNWFlZA==</t>
  </si>
  <si>
    <t>We are incredibly proud to share that the University of Waterloo has been ranked Canada’s #1 university for Nanoscience and Nanotechnology by U.S. News &amp; World Report. Small science leading to BIG global impacts.</t>
  </si>
  <si>
    <t>WAT009</t>
  </si>
  <si>
    <t>https://www.instagram.com/p/DHyUUA1gJgz/?utm_source=ig_web_copy_link&amp;igsh=MzRlODBiNWFlZA==</t>
  </si>
  <si>
    <t>s a graduate strength and conditioning coach with Waterloo Athletics, Master of Kinesiology (coursework) student Spencer Marshall Jaschkowski plays a crucial role in supporting varsity teams: designing training programs, supervising athletes, mentoring junior coaches, and ensuring smooth team and individual training sessions.</t>
  </si>
  <si>
    <t>WAT010</t>
  </si>
  <si>
    <t>https://www.instagram.com/reel/DH_jU1mgIXx/?utm_source=ig_web_copy_link&amp;igsh=MzRlODBiNWFlZA==</t>
  </si>
  <si>
    <t>The Master of Data Science and Artificial Intelligence (MDSAI) opens a door into the world of broader career opportunities in data science and AI. It builds on foundational interdisciplinary learning, incorporating elements of Statistics, Computer Science, and Optimization, coupled with hands-on co-op experience working in the field of data science and AI</t>
  </si>
  <si>
    <t>WAT011</t>
  </si>
  <si>
    <t>https://www.instagram.com/p/DISZSL9Oh2w/?utm_source=ig_web_copy_link&amp;igsh=MzRlODBiNWFlZA==</t>
  </si>
  <si>
    <t>oday we welcomed over 200 global leaders to the @timeshighered (THE) Digital Health summit inside of Engineering 7. The summit brings together a global community to help shape a healthier future through innovation, entrepreneurship and partnerships.</t>
  </si>
  <si>
    <t>WAT012</t>
  </si>
  <si>
    <t>https://www.instagram.com/p/DIyzpRJurfi/?utm_source=ig_web_copy_link&amp;igsh=MzRlODBiNWFlZA==</t>
  </si>
  <si>
    <t>For the first time ever, #UWaterloo is proud to guarantee on-campus housing for incoming full-time PhD students starting in fall 2025 or winter 2026. Students will be guaranteed a space in Columbia Lake Village South, which features private bedrooms in a shared townhouse among a vibrant graduate student</t>
  </si>
  <si>
    <t>WAT013</t>
  </si>
  <si>
    <t>https://www.instagram.com/reel/DJR4CO6gGFB/?utm_source=ig_web_copy_link&amp;igsh=MzRlODBiNWFlZA==</t>
  </si>
  <si>
    <t>From the foundations of quantum theory and its applications in nanotechnology to atmospheric physics, fluid mechanics, and the structure of spacetime in cosmology, Mathematical Physics will give you the advanced mathematical problem-solving skills needed for a wide range of careers.</t>
  </si>
  <si>
    <t>WAT014</t>
  </si>
  <si>
    <t>https://www.instagram.com/reel/DJmI7YCuJum/?utm_source=ig_web_copy_link&amp;igsh=MzRlODBiNWFlZA==</t>
  </si>
  <si>
    <t>Breaking barriers. Changing the game. Defining the future. 📈💥
Since 1957, #UWaterloo has been redefining education through co-op and work-integrated learning, setting the standard for real-world experience. But we’re not stopping there.</t>
  </si>
  <si>
    <t>WAT015</t>
  </si>
  <si>
    <t>https://www.instagram.com/reel/DJ_3Y_wO8sv/?utm_source=ig_web_copy_link&amp;igsh=MzRlODBiNWFlZA==</t>
  </si>
  <si>
    <t xml:space="preserve">
Now, researchers at the Institute for Quantum Computing (IQC) at the University of Waterloo and quantum software provider softwareQ Inc have developed one of the world’s first quantum resource estimation tools to calculate the realistic costs of quantum attacks and how to use quantum computers effectively.</t>
  </si>
  <si>
    <t>WAT016</t>
  </si>
  <si>
    <t>https://www.instagram.com/p/DKh08q2xUoq/?utm_source=ig_web_copy_link&amp;igsh=MzRlODBiNWFlZA==</t>
  </si>
  <si>
    <t>Twenty-five #UWaterlooSci students took part in a four-day Traditional Medicines Land-Based Field Course in Havelock, Ontario, near Alderville First Nation Reserve.⁣
Led entirely by Indigenous Elders and facilitators, the course offered a powerful opportunity to learn through land-based teachings, oral traditions, and cultural practices.⁣</t>
  </si>
  <si>
    <t>WAT017</t>
  </si>
  <si>
    <t>https://www.instagram.com/reel/DKuUPnXOwWn/?utm_source=ig_web_copy_link&amp;igsh=MzRlODBiNWFlZA==</t>
  </si>
  <si>
    <t xml:space="preserve">Our 14 valedictorians share words of advice ahead of Spring 2025 Convocation. Congratulations to these superb graduates and to all who are crossing the stage this week inside of the PAC. You made it! </t>
  </si>
  <si>
    <t>WAT018</t>
  </si>
  <si>
    <t>https://www.instagram.com/p/DLKl2HHg3fa/?utm_source=ig_web_copy_link&amp;igsh=MzRlODBiNWFlZA==</t>
  </si>
  <si>
    <t>Meijie Lin joined the Faculty of Environment with experience in financial accounting and a growing interest in climate action. At Waterloo, she explored what drives emissions changes and whether they stem from real decarbonization or outside influences.</t>
  </si>
  <si>
    <t>WAT019</t>
  </si>
  <si>
    <t>https://www.instagram.com/reel/DLm1Ow2u-mt/?utm_source=ig_web_copy_link&amp;igsh=MzRlODBiNWFlZA==</t>
  </si>
  <si>
    <t>Waterloo researchers are developing a material that mimics the behaviour of human bone and is capable of being 3D printed with a high degree of accuracy.</t>
  </si>
  <si>
    <t>WAT020</t>
  </si>
  <si>
    <t>https://www.instagram.com/p/DMQNhIguEFQ/?utm_source=ig_web_copy_link&amp;igsh=MzRlODBiNWFlZA==</t>
  </si>
  <si>
    <t>Taking a trip back in time to look at some iconic buildings and moments across campus at #UWaterloo. 🖤💛</t>
  </si>
  <si>
    <t>WAT021</t>
  </si>
  <si>
    <t>https://www.instagram.com/p/DMkullhs2qW/?utm_source=ig_web_copy_link&amp;igsh=MzRlODBiNWFlZA==</t>
  </si>
  <si>
    <t>Now a master’s student in Systems Design Engineering, Kseniia is developing AI that improves action recognition in ice hockey broadcasts.</t>
  </si>
  <si>
    <t>WAT022</t>
  </si>
  <si>
    <t>https://www.instagram.com/reel/DNYXTbXOUdr/?utm_source=ig_web_copy_link&amp;igsh=MzRlODBiNWFlZA==</t>
  </si>
  <si>
    <t>After being turned away from 15 salons, Aileen Agada (BASc ‘21, MBET ‘24) co-founded @beblended.inc, an online marketplace connecting people with Afro-curly hair to trained stylists. 💇🏾‍♀️</t>
  </si>
  <si>
    <t>WAT023</t>
  </si>
  <si>
    <t>https://www.instagram.com/reel/DNjCzoahx8e/?utm_source=ig_web_copy_link&amp;igsh=MzRlODBiNWFlZA==</t>
  </si>
  <si>
    <t>Recreation program registration opens September 3rd! Sign up for fitness classes, aquatics, intramurals, and more! Visit gowarriorsgo.ca/fall2025 for more info! Mark your calendars!
🖤💛 Black &amp; Gold Day - Sep 6th
🏠 Open House - Sep 9th
🎉 Homecoming - Sep 20th</t>
  </si>
  <si>
    <t>WAT024</t>
  </si>
  <si>
    <t>https://www.instagram.com/reel/DNx8SoUXNYT/?utm_source=ig_web_copy_link&amp;igsh=MzRlODBiNWFlZA==</t>
  </si>
  <si>
    <t>Since 1958, #UWaterloo has distinguished itself with co-operative education. Today, more than 70% of our students gain up to two years of employment experience during their studies.</t>
  </si>
  <si>
    <t>WAT025</t>
  </si>
  <si>
    <t>https://www.instagram.com/p/C_nnI1DAw6s/?utm_source=ig_web_copy_link&amp;igsh=MzRlODBiNWFlZA==</t>
  </si>
  <si>
    <t>Nithin Aaron is a theorist at heart, currently studying quantum computing as a Master of Science in Physics (Quantum Information) student. After researching graduate programs around the world, it was ultimately the reputation of the Institute for Quantum Computing (IQC) and the excellent fit he found with his supervisor professor Pierre-Nicholas Roy (Tier 1 Canada Research Chair in Quantum Molecular Dynamics), that finalized his decision to come to Waterloo.</t>
  </si>
  <si>
    <t>WAT026</t>
  </si>
  <si>
    <t>https://www.instagram.com/reel/C_symnqulBZ/?utm_source=ig_web_copy_link&amp;igsh=MzRlODBiNWFlZA==</t>
  </si>
  <si>
    <t>The University of Waterloo is proud to welcome a new cohort of science, technology, engineering and math (STEM) students through the Schulich Leader Scholarship program. 👏👏👏</t>
  </si>
  <si>
    <t>WAT027</t>
  </si>
  <si>
    <t>https://www.instagram.com/p/DAGrt7qg9L-/?utm_source=ig_web_copy_link&amp;igsh=MzRlODBiNWFlZA==</t>
  </si>
  <si>
    <t>uofwaterloo mechatronics engineering student Mulei Mao’s latest entrepreneurial venture promotes healthy snacking. He’s developing a protein-packed popcorn topping that’s nutritious, sustainable — and delicious! [@Likes]</t>
  </si>
  <si>
    <t>WAT028</t>
  </si>
  <si>
    <t>https://www.instagram.com/p/DAt36OXvU6x/?utm_source=ig_web_copy_link&amp;igsh=MzRlODBiNWFlZA==</t>
  </si>
  <si>
    <t>📈#UWaterloo has been ranked 25th in the world on the @fastcompany inaugural Ignition Schools list, recognizing the top 50 universities worldwide that are driving innovation and entrepreneurship. Waterloo is also the third-highest ranked Canadian university. 👏👏👏</t>
  </si>
  <si>
    <t>WAT029</t>
  </si>
  <si>
    <t xml:space="preserve">https://www.instagram.com/p/DA6VFW6v9mj/?utm_source=ig_web_copy_link&amp;igsh=MzRlODBiNWFlZA== </t>
  </si>
  <si>
    <t>his groundbreaking study provides a clearer view of how successful international students are once they complete their studies across Canadian post-secondary schools, notably in technology and engineering-focused programs where they enjoy and earnings advantage over their peers.</t>
  </si>
  <si>
    <t>WAT030</t>
  </si>
  <si>
    <t>https://www.instagram.com/reel/DBZFVJoxaBX/?utm_source=ig_web_copy_link&amp;igsh=MzRlODBiNWFlZA==</t>
  </si>
  <si>
    <t>Discover the elegance of Pure Mathematics at the University of Waterloo! Our Pure Mathematics major is perfect for those driven by a passion for exploring the depths of mathematics for its own sake. Immerse yourself in centuries of mathematical theory, and see how geometry, algebra, and functions intertwine. If you seek to experience the beauty of math in its purest form, this is the program for you.</t>
  </si>
  <si>
    <t>WAT031</t>
  </si>
  <si>
    <t>https://www.instagram.com/reel/DCSEPUiRVWc/?utm_source=ig_web_copy_link&amp;igsh=MzRlODBiNWFlZA==</t>
  </si>
  <si>
    <t>Thank you to everyone who joined us for our Fall Open House! 🍂 We loved connecting with future Warriors and sharing what makes Waterloo special. Ready to take the next step? Learn how to apply through the link in our bio! 💼✨</t>
  </si>
  <si>
    <t>WAT032</t>
  </si>
  <si>
    <t>https://www.instagram.com/p/DCj9NIivVzc/?utm_source=ig_web_copy_link&amp;igsh=MzRlODBiNWFlZA==</t>
  </si>
  <si>
    <t>e University of Waterloo has solidified its position as a global research leader in the 2024 Academic Ranking of World Universities (ARWU), with seven subjects ranking #1 in Canada and 19 subjects in the top 100 worldwide.</t>
  </si>
  <si>
    <t>WAT033</t>
  </si>
  <si>
    <t>https://www.instagram.com/p/DC2THIIssR4/?utm_source=ig_web_copy_link&amp;igsh=MzRlODBiNWFlZA==</t>
  </si>
  <si>
    <t>Last Wednesday, @greenhouse held their 33rd Social Impact Showcase at United College, highlighting the impressive achievements of student-led ventures tackling some of the world’s most pressing social challenges.</t>
  </si>
  <si>
    <t>WAT034</t>
  </si>
  <si>
    <t>https://www.instagram.com/reel/DDH-iWtxyaN/?utm_source=ig_web_copy_link&amp;igsh=MzRlODBiNWFlZA==</t>
  </si>
  <si>
    <t>Don’t be like David—don’t wait until it’s too late! ⏳ The application deadline is January 31st. (Engineering applicants, excluding Architecture, your deadline is January 15th!) Sprint to the link in our bio and apply today!</t>
  </si>
  <si>
    <t>WAT035</t>
  </si>
  <si>
    <t>https://www.instagram.com/p/DDphNWTPtFH/?utm_source=ig_web_copy_link&amp;igsh=MzRlODBiNWFlZA==</t>
  </si>
  <si>
    <t>We’re thrilled to share that #UWaterloo has been ranked in the top 10% of universities worldwide and 5th in 🇨🇦 for brand recognition in the Global University Visibility rankings developed by @americancaldwell . 🙌</t>
  </si>
  <si>
    <t>WAT036</t>
  </si>
  <si>
    <t>https://www.instagram.com/reel/DDr9iB5x87v/?utm_source=ig_web_copy_link&amp;igsh=MzRlODBiNWFlZA==</t>
  </si>
  <si>
    <t>Looking for a career in one of the business world’s most in-demand fields?
Our Financial Analysis and Risk Management (FARM) degree equips you with the skills to manage credit, operational, market, and financial risks—opening doors to dynamic, high-profile roles.
Hear from students and instructors about why this program might be the perfect fit for you!</t>
  </si>
  <si>
    <t>Video</t>
  </si>
  <si>
    <t>Primary Theme Group</t>
  </si>
  <si>
    <t>Secondary Theme Group</t>
  </si>
  <si>
    <t>Approach Group</t>
  </si>
  <si>
    <t>Duplicate ID Check</t>
  </si>
  <si>
    <t>Duplicate URL Check</t>
  </si>
  <si>
    <t>Date Check</t>
  </si>
  <si>
    <t>Record Note</t>
  </si>
  <si>
    <t>January</t>
  </si>
  <si>
    <t>February</t>
  </si>
  <si>
    <t>March</t>
  </si>
  <si>
    <t>April</t>
  </si>
  <si>
    <t>May</t>
  </si>
  <si>
    <t>July</t>
  </si>
  <si>
    <t>August</t>
  </si>
  <si>
    <t>September</t>
  </si>
  <si>
    <t>October</t>
  </si>
  <si>
    <t>November</t>
  </si>
  <si>
    <t>December</t>
  </si>
  <si>
    <t>Comparative Analysis of Recruitment-Oriented Instagram Content Strategies</t>
  </si>
  <si>
    <t>Five Ontario Universities | Final Sample: September 2024-August 2025</t>
  </si>
  <si>
    <t>Study element</t>
  </si>
  <si>
    <t>Final design</t>
  </si>
  <si>
    <t>Verified Dataset KPIs</t>
  </si>
  <si>
    <t>Student Experience &amp; Campus</t>
  </si>
  <si>
    <t>Academic &amp; Admissions</t>
  </si>
  <si>
    <t>Career &amp; Alumni</t>
  </si>
  <si>
    <t>Reputation/Research</t>
  </si>
  <si>
    <t>Research question</t>
  </si>
  <si>
    <t>How do selected Ontario universities use Instagram content strategies for prospective student recruitment and what similarities and differences in recruitment-oriented content themes and marketing approaches are observed across institutions?</t>
  </si>
  <si>
    <t>Total posts</t>
  </si>
  <si>
    <t>Posts per university</t>
  </si>
  <si>
    <t>Months covered</t>
  </si>
  <si>
    <t>U of T</t>
  </si>
  <si>
    <t>Approach</t>
  </si>
  <si>
    <t>Mixed-method content analysis with descriptive quantitative comparison and qualitative interpretation</t>
  </si>
  <si>
    <t>McMaster</t>
  </si>
  <si>
    <t>Sampling</t>
  </si>
  <si>
    <t>Stratified purposive sample: three recruitment-oriented posts per university per month</t>
  </si>
  <si>
    <t>York</t>
  </si>
  <si>
    <t>Final sample</t>
  </si>
  <si>
    <t>180 posts: 36 per university across 12 months</t>
  </si>
  <si>
    <t>TMU</t>
  </si>
  <si>
    <t>Main variables</t>
  </si>
  <si>
    <t>Primary theme, secondary theme, marketing approach, post format, CTA presence and academic-cycle pattern</t>
  </si>
  <si>
    <t>Reel share</t>
  </si>
  <si>
    <t>CTA-present rate</t>
  </si>
  <si>
    <t>Current follower range</t>
  </si>
  <si>
    <t>Waterloo</t>
  </si>
  <si>
    <t>Engagement/Relationship</t>
  </si>
  <si>
    <t>Promotional/Conversion</t>
  </si>
  <si>
    <t>Reputation-focused</t>
  </si>
  <si>
    <t>Verified findings from the revised dataset</t>
  </si>
  <si>
    <t>1. Student Experience was the leading primary theme at all five universities and represented 65 of 180 posts (36.1%). When related campus and support themes were grouped, Student Experience &amp; Campus represented 103 posts (57.2%).
2. Engagement/Relationship was the largest grouped marketing approach with 89 posts (49.4%), followed by Promotional/Conversion with 57 posts (31.7%).
3. Reels represented 114 posts (63.3%). York used Reels most heavily (28 of 36), while Waterloo used the most balanced format mix (16 Reels, 10 Images and 10 Carousels).
4. A CTA was present in 121 posts (67.2%). U of T and Waterloo each used CTAs in 31 of 36 posts (86.1%); York used CTAs in 15 of 36 posts (41.7%).
5. The revised file changes six secondary-theme codes only. Primary-theme, marketing-approach, format and CTA totals are unchanged. Current follower counts are used only as present-day account-size context.</t>
  </si>
  <si>
    <t>CTA Rate</t>
  </si>
  <si>
    <t>Primary Recruitment-Oriented Content Themes</t>
  </si>
  <si>
    <t>Total</t>
  </si>
  <si>
    <t>% of Sample</t>
  </si>
  <si>
    <t>Grouped Primary Theme</t>
  </si>
  <si>
    <t>Institutional Reputation</t>
  </si>
  <si>
    <t>Interpretation</t>
  </si>
  <si>
    <t>Student Experience was the leading primary theme at all five universities. The shared pattern shows that recruitment-oriented Instagram content commonly makes university life visible through student stories, campus participation and everyday experience. The supporting themes differ: York is most concentrated on campus/community experience; TMU has the largest Admissions count; Waterloo places the strongest emphasis on Academic Programs, Rankings &amp; Achievements and Research &amp; Innovation; U of T uses the widest theme mix; and McMaster emphasizes student journeys alongside admissions, career and community content.</t>
  </si>
  <si>
    <t>Secondary Themes and Message Combinations</t>
  </si>
  <si>
    <t>Count</t>
  </si>
  <si>
    <t>Secondary themes show how posts combine recruitment messages. The most common combination was Student Experience with Campus Life (17 posts), followed by Student Experience with Academic Programs (13) and Student Experience with Career Opportunities (8). This indicates that student-centred content often communicates an additional value proposition such as academic quality, employability, international belonging or campus participation. Secondary-theme counts are reported separately and are not added to primary-theme totals, which prevents double counting.</t>
  </si>
  <si>
    <t>Marketing Approaches Used in Recruitment-Oriented Posts</t>
  </si>
  <si>
    <t>Grouped Approach</t>
  </si>
  <si>
    <t>Almost half of the sample used an Engagement/Relationship approach, showing that universities commonly present recruitment value through stories, testimonials, community and inspiration. Promotional/Conversion was the second-largest group. Waterloo used the most reputation-building content, York used the most promotional content, McMaster used the most inspirational content, TMU combined promotion with direct recruitment steps, and U of T used the largest informational share.</t>
  </si>
  <si>
    <t>Post Format and Call-to-Action Use</t>
  </si>
  <si>
    <t>CTA-Yes Count</t>
  </si>
  <si>
    <t>Reels were the dominant format at all five universities, but the degree of reliance differed. York and TMU used the most Reels, McMaster used the most Carousels, and Waterloo used an even split of Images and Carousels alongside Reels. CTA use also differed: U of T and Waterloo connected most posts to a next step, while York more often used awareness, experience and community messages without a direct conversion prompt. These differences describe communication style; they do not measure recruitment effectiveness.</t>
  </si>
  <si>
    <t>Academic-Year Content Patterns</t>
  </si>
  <si>
    <t>CTA-Yes</t>
  </si>
  <si>
    <t>CTA-No</t>
  </si>
  <si>
    <t>The sample follows the academic and recruitment cycle. September and August are dominated by transition, arrival, campus participation and student experience. October and November contain the strongest concentration of academic and admissions content, including fairs, open houses, program information and application-related messages. May and June shift toward graduation, alumni transition, achievement and community. June has the fewest CTA-present posts (6 of 15), while August has the most (14 of 15).</t>
  </si>
  <si>
    <t>Comparative Institutional Profiles</t>
  </si>
  <si>
    <t>Institution</t>
  </si>
  <si>
    <t>Dominant Theme Pattern</t>
  </si>
  <si>
    <t>Marketing Style</t>
  </si>
  <si>
    <t>Format / CTA Pattern</t>
  </si>
  <si>
    <t>Illustrative Post IDs</t>
  </si>
  <si>
    <t>Data-Based Interpretation</t>
  </si>
  <si>
    <t>Student Experience leads; broad supporting mix of alumni, rankings, inclusion, admissions and facilities.</t>
  </si>
  <si>
    <t>Most varied approach mix; largest informational count in the sample.</t>
  </si>
  <si>
    <t>23 Reels; CTA in 31 of 36 posts.</t>
  </si>
  <si>
    <t>UOT002, UOT005, UOT008, UOT017, UOT029, UOT034</t>
  </si>
  <si>
    <t>Uses a broad prestige-plus-experience position that combines institutional authority, diversity, research, alumni outcomes and individual student stories.</t>
  </si>
  <si>
    <t>Student Experience is strongly dominant, supported by admissions, careers, campus life and rankings.</t>
  </si>
  <si>
    <t>Most inspirational approach; strong emotional and community emphasis.</t>
  </si>
  <si>
    <t>21 Reels and 13 Carousels; CTA in 23 of 36 posts.</t>
  </si>
  <si>
    <t>MAC002, MAC010, MAC016, MAC025, MAC032, MAC036</t>
  </si>
  <si>
    <t>Presents recruitment through belonging, personal development, student journeys and the transition from education to career.</t>
  </si>
  <si>
    <t>Strongest concentration on Student Experience, Campus Facilities and Campus Life.</t>
  </si>
  <si>
    <t>Highest promotional count, combined with emotional storytelling and community engagement.</t>
  </si>
  <si>
    <t>28 Reels; CTA in 15 of 36 posts.</t>
  </si>
  <si>
    <t>YRK001, YRK005, YRK017, YRK023, YRK029, YRK032</t>
  </si>
  <si>
    <t>Positions the university through campus/community experience, inclusion and belonging, with fewer direct conversion prompts.</t>
  </si>
  <si>
    <t>Student Experience leads; Admissions is the strongest among the five universities.</t>
  </si>
  <si>
    <t>Promotion is dominant, supported by inspiration, reputation and direct calls to action.</t>
  </si>
  <si>
    <t>26 Reels; CTA in 21 of 36 posts.</t>
  </si>
  <si>
    <t>TMU005, TMU008, TMU009, TMU020, TMU030, TMU034</t>
  </si>
  <si>
    <t>Combines urban student experience with direct recruitment moments such as open houses, acceptance, tours and applicant next steps.</t>
  </si>
  <si>
    <t>Strongest emphasis on Rankings &amp; Achievements, Academic Programs and Research &amp; Innovation.</t>
  </si>
  <si>
    <t>Highest reputation-building count; no post coded primarily as Informational or Inspirational.</t>
  </si>
  <si>
    <t>16 Reels, 10 Images and 10 Carousels; CTA in 31 of 36 posts.</t>
  </si>
  <si>
    <t>WAT002, WAT005, WAT008, WAT020, WAT024, WAT032</t>
  </si>
  <si>
    <t>Differentiates through academic evidence, innovation, research, co-op/employability and program-specific achievement.</t>
  </si>
  <si>
    <t>Cross-institution answer to the research question</t>
  </si>
  <si>
    <t>Similarities: All five universities used Student Experience as their leading primary theme, relied mainly on Reels, and combined direct promotional content with softer relationship-building communication. Posts also changed with the academic cycle.
Differences: York concentrated most strongly on campus/community experience and used the fewest CTAs. TMU had the strongest admissions orientation. Waterloo differentiated most clearly through academic programs, rankings, research and employability/co-op evidence. U of T used the broadest thematic and stylistic mix. McMaster placed comparatively greater emphasis on inspirational student journeys, belonging and development.
Overall answer: The universities use similar Instagram tools and student-centred themes, but arrange them differently to communicate distinct institutional value propositions to prospective students.</t>
  </si>
  <si>
    <t>Current Instagram Account Snapshot</t>
  </si>
  <si>
    <t>Researcher-recorded point-in-time context: 26 July 2026. Not used to calculate engagement rates for the September 2024-August 2025 posts.</t>
  </si>
  <si>
    <t>Instagram Handle</t>
  </si>
  <si>
    <t>Current Posts</t>
  </si>
  <si>
    <t>Current Followers</t>
  </si>
  <si>
    <t>Following</t>
  </si>
  <si>
    <t>Date Recorded</t>
  </si>
  <si>
    <t>Use in Analysis</t>
  </si>
  <si>
    <t>Limitation</t>
  </si>
  <si>
    <t>@uoft</t>
  </si>
  <si>
    <t>Current account-size context only</t>
  </si>
  <si>
    <t>Not the follower count when sampled posts were published</t>
  </si>
  <si>
    <t>@mcmasteru</t>
  </si>
  <si>
    <t>@yorkuniversity</t>
  </si>
  <si>
    <t>@torontomet</t>
  </si>
  <si>
    <t>@uofwaterloo</t>
  </si>
  <si>
    <t>Analytical treatment</t>
  </si>
  <si>
    <t>Current follower counts range from 79,700 to 374,000, a difference of 294,300. They provide present-day context about account scale only. They are not used as denominators for likes or comments because they were recorded after the study period. Historical follower counts, reach, impressions, Reel views, paid-promotion information and standardized engagement collection dates are unavailable. The study therefore does not compare engagement performance or claim which strategy was most effective.</t>
  </si>
  <si>
    <t>Data Audit and Double-Check</t>
  </si>
  <si>
    <t>Check</t>
  </si>
  <si>
    <t>Workbook Formula Result</t>
  </si>
  <si>
    <t>Independent Python Check</t>
  </si>
  <si>
    <t>Status</t>
  </si>
  <si>
    <t>Total records</t>
  </si>
  <si>
    <t>Duplicate Post ID flags</t>
  </si>
  <si>
    <t>Duplicate URL flags</t>
  </si>
  <si>
    <t>Date mismatches</t>
  </si>
  <si>
    <t>Unavailable likes/comments</t>
  </si>
  <si>
    <t>Primary = secondary theme</t>
  </si>
  <si>
    <t>CTA-present total</t>
  </si>
  <si>
    <t>Reel total</t>
  </si>
  <si>
    <t>Primary theme total</t>
  </si>
  <si>
    <t>Secondary theme total</t>
  </si>
  <si>
    <t>Marketing approach total</t>
  </si>
  <si>
    <t>Raw Count</t>
  </si>
  <si>
    <t>Expected</t>
  </si>
  <si>
    <t>Difference</t>
  </si>
  <si>
    <t>Sep-Dec 2024</t>
  </si>
  <si>
    <t>Jan-Aug 2025</t>
  </si>
  <si>
    <t>Audit conclusion</t>
  </si>
  <si>
    <t>The revised file contains 180 unique records, 36 per university and exactly three posts in every institution-month cell. All dates match the coded month and year, all category values conform to the workbook lists, and no duplicate Post IDs or URLs were found. The only incomplete fields are likes and comments for three posts; these fields are not used in the comparative analysis. All headline findings were checked independently in Python and again through workbook formulas.</t>
  </si>
  <si>
    <t>Changes from Previous Raw File</t>
  </si>
  <si>
    <t>Field Changed</t>
  </si>
  <si>
    <t>Previous Value</t>
  </si>
  <si>
    <t>Revised Value</t>
  </si>
  <si>
    <t>Effect on Analysis</t>
  </si>
  <si>
    <t>Updates secondary-theme counts only</t>
  </si>
  <si>
    <t>partnerships</t>
  </si>
  <si>
    <t>Removes non-standard code; updates secondary-theme counts</t>
  </si>
  <si>
    <t>Impact summary</t>
  </si>
  <si>
    <t>The revised workbook changes six Secondary Theme entries. No Post IDs, URLs, dates, universities, primary themes, marketing approaches, post types, CTA values, likes, comments or caption summaries changed. Therefore, the primary-theme, marketing-approach, post-format, CTA and monthly headline totals remain the same. The Secondary Themes sheet and qualitative combinations have been recalculated from the revised file.</t>
  </si>
  <si>
    <t>Analysis Codebook and Rules</t>
  </si>
  <si>
    <t>Detailed Theme</t>
  </si>
  <si>
    <t>Grouped Theme</t>
  </si>
  <si>
    <t>Detailed Marketing Approach</t>
  </si>
  <si>
    <t>Analysis rules</t>
  </si>
  <si>
    <t>1. Primary theme is the mutually exclusive category used for the principal frequency comparison.
2. Secondary theme is analyzed separately to identify combined messages; primary and secondary counts are never added together.
3. Marketing approach identifies the dominant communication style of each post.
4. CTA presence is a separate binary variable and may appear within any marketing approach.
5. Likes and comments are retained in the raw file but excluded from cross-institution performance comparison.
6. Current follower counts are contextual only and do not represent historical account size.
7. The final analysis is descriptive and comparative; it does not test enrollment impact or claim which strategy is most effective.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</si>
</sst>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dd\ mmm\ yyyy"/>
  </numFmts>
  <fonts count="11" x14ac:knownFonts="1">
    <font>
      <sz val="11"/>
      <color theme="1"/>
      <name val="Calibri"/>
    </font>
    <font>
      <b/>
      <sz val="11"/>
      <color rgb="FFFFFFFF"/>
      <name val="Calibri"/>
      <family val="2"/>
    </font>
    <font>
      <sz val="11"/>
      <color theme="10"/>
      <name val="Calibri"/>
      <family val="2"/>
    </font>
    <font>
      <sz val="11"/>
      <color theme="1"/>
      <name val="Calibri"/>
      <family val="2"/>
    </font>
    <font>
      <b/>
      <sz val="18"/>
      <color rgb="FFFFFFFF"/>
      <name val="Calibri"/>
      <family val="2"/>
    </font>
    <font>
      <i/>
      <sz val="11"/>
      <color rgb="FF1F2937"/>
      <name val="Calibri"/>
      <family val="2"/>
    </font>
    <font>
      <b/>
      <sz val="11"/>
      <color theme="1"/>
      <name val="Calibri"/>
      <family val="2"/>
    </font>
    <font>
      <b/>
      <sz val="11"/>
      <color rgb="FF1F2937"/>
      <name val="Calibri"/>
      <family val="2"/>
    </font>
    <font>
      <b/>
      <sz val="18"/>
      <color rgb="FF123B63"/>
      <name val="Calibri"/>
      <family val="2"/>
    </font>
    <font>
      <sz val="11"/>
      <color rgb="FF1F2937"/>
      <name val="Calibri"/>
      <family val="2"/>
    </font>
    <font>
      <b/>
      <sz val="16"/>
      <color rgb="FFFFFFFF"/>
      <name val="Calibri"/>
      <family val="2"/>
    </font>
  </fonts>
  <fills count="10">
    <fill>
      <patternFill patternType="none"/>
    </fill>
    <fill>
      <patternFill patternType="gray125"/>
    </fill>
    <fill>
      <patternFill patternType="solid">
        <fgColor rgb="FF1F4E78"/>
      </patternFill>
    </fill>
    <fill>
      <patternFill patternType="solid">
        <fgColor rgb="FFFFFF00"/>
      </patternFill>
    </fill>
    <fill>
      <patternFill patternType="solid">
        <fgColor rgb="FF123B63"/>
      </patternFill>
    </fill>
    <fill>
      <patternFill patternType="solid">
        <fgColor rgb="FFF7F0D5"/>
      </patternFill>
    </fill>
    <fill>
      <patternFill patternType="solid">
        <fgColor rgb="FFE7EFF7"/>
      </patternFill>
    </fill>
    <fill>
      <patternFill patternType="solid">
        <fgColor rgb="FFFFFFFF"/>
      </patternFill>
    </fill>
    <fill>
      <patternFill patternType="solid">
        <fgColor rgb="FFF3F4F6"/>
      </patternFill>
    </fill>
    <fill>
      <patternFill patternType="solid">
        <fgColor rgb="FFC49A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0" fillId="0" borderId="0" xfId="0" applyAlignment="1">
      <alignment vertical="center"/>
    </xf>
    <xf numFmtId="16" fontId="0" fillId="0" borderId="0" xfId="0" applyNumberFormat="1" applyAlignment="1">
      <alignment vertical="center"/>
    </xf>
    <xf numFmtId="0" fontId="2" fillId="0" borderId="0" xfId="1" applyAlignment="1">
      <alignment vertical="center" wrapText="1"/>
    </xf>
    <xf numFmtId="0" fontId="0" fillId="0" borderId="0" xfId="0" applyAlignment="1">
      <alignment vertical="center" wrapText="1"/>
    </xf>
    <xf numFmtId="0" fontId="1" fillId="2" borderId="0" xfId="0" applyFont="1" applyFill="1" applyAlignment="1">
      <alignment vertical="center"/>
    </xf>
    <xf numFmtId="16" fontId="0" fillId="0" borderId="0" xfId="0" applyNumberFormat="1" applyAlignment="1">
      <alignment vertical="center" wrapText="1"/>
    </xf>
    <xf numFmtId="0" fontId="0" fillId="3" borderId="0" xfId="0" applyFill="1" applyAlignment="1">
      <alignment vertical="center"/>
    </xf>
    <xf numFmtId="16" fontId="0" fillId="3" borderId="0" xfId="0" applyNumberFormat="1" applyFill="1" applyAlignment="1">
      <alignment vertical="center" wrapText="1"/>
    </xf>
    <xf numFmtId="0" fontId="2" fillId="3" borderId="0" xfId="1" applyFill="1" applyAlignment="1">
      <alignment vertical="center" wrapText="1"/>
    </xf>
    <xf numFmtId="0" fontId="0" fillId="3" borderId="0" xfId="0" applyFill="1" applyAlignment="1">
      <alignment vertical="center" wrapText="1"/>
    </xf>
    <xf numFmtId="16" fontId="0" fillId="3" borderId="0" xfId="0" applyNumberFormat="1" applyFill="1" applyAlignment="1">
      <alignment vertical="center"/>
    </xf>
    <xf numFmtId="0" fontId="3" fillId="0" borderId="0" xfId="0" applyFont="1" applyAlignment="1">
      <alignment vertical="center" wrapText="1"/>
    </xf>
    <xf numFmtId="0" fontId="1" fillId="4" borderId="0" xfId="0" applyFont="1" applyFill="1" applyAlignment="1">
      <alignment horizontal="center" vertical="center"/>
    </xf>
    <xf numFmtId="0" fontId="1" fillId="4" borderId="0" xfId="0" applyFont="1" applyFill="1" applyAlignment="1">
      <alignment horizontal="center" vertical="center" wrapText="1"/>
    </xf>
    <xf numFmtId="0" fontId="0" fillId="0" borderId="0" xfId="0" applyAlignment="1">
      <alignment wrapText="1"/>
    </xf>
    <xf numFmtId="164" fontId="0" fillId="0" borderId="0" xfId="0" applyNumberFormat="1" applyAlignment="1">
      <alignment wrapText="1"/>
    </xf>
    <xf numFmtId="1" fontId="0" fillId="0" borderId="0" xfId="0" applyNumberFormat="1" applyAlignment="1">
      <alignment wrapText="1"/>
    </xf>
    <xf numFmtId="0" fontId="6" fillId="6" borderId="0" xfId="0" applyFont="1" applyFill="1" applyAlignment="1">
      <alignment wrapText="1"/>
    </xf>
    <xf numFmtId="165" fontId="0" fillId="0" borderId="0" xfId="0" applyNumberFormat="1"/>
    <xf numFmtId="0" fontId="7" fillId="9" borderId="0" xfId="0" applyFont="1" applyFill="1" applyAlignment="1">
      <alignment vertical="center"/>
    </xf>
    <xf numFmtId="165" fontId="7" fillId="9" borderId="0" xfId="0" applyNumberFormat="1" applyFont="1" applyFill="1" applyAlignment="1">
      <alignment vertical="center"/>
    </xf>
    <xf numFmtId="0" fontId="0" fillId="0" borderId="0" xfId="0" applyAlignment="1">
      <alignment vertical="top" wrapText="1"/>
    </xf>
    <xf numFmtId="3" fontId="0" fillId="0" borderId="0" xfId="0" applyNumberFormat="1"/>
    <xf numFmtId="3" fontId="0" fillId="0" borderId="0" xfId="0" applyNumberFormat="1" applyAlignment="1">
      <alignment wrapText="1"/>
    </xf>
    <xf numFmtId="166" fontId="0" fillId="0" borderId="0" xfId="0" applyNumberFormat="1" applyAlignment="1">
      <alignment wrapText="1"/>
    </xf>
    <xf numFmtId="0" fontId="3" fillId="0" borderId="0" xfId="0" applyFont="1"/>
    <xf numFmtId="0" fontId="4" fillId="4" borderId="0" xfId="0" applyFont="1" applyFill="1" applyAlignment="1">
      <alignment horizontal="center" vertical="center"/>
    </xf>
    <xf numFmtId="0" fontId="5" fillId="5" borderId="0" xfId="0" applyFont="1" applyFill="1" applyAlignment="1">
      <alignment horizontal="center"/>
    </xf>
    <xf numFmtId="0" fontId="1" fillId="4" borderId="0" xfId="0" applyFont="1" applyFill="1" applyAlignment="1">
      <alignment horizontal="center" vertical="center"/>
    </xf>
    <xf numFmtId="0" fontId="7" fillId="6" borderId="0" xfId="0" applyFont="1" applyFill="1" applyAlignment="1">
      <alignment horizontal="center" vertical="center"/>
    </xf>
    <xf numFmtId="1" fontId="8" fillId="7" borderId="0" xfId="0" applyNumberFormat="1" applyFont="1" applyFill="1" applyAlignment="1">
      <alignment horizontal="center" vertical="center"/>
    </xf>
    <xf numFmtId="0" fontId="9" fillId="8" borderId="0" xfId="0" applyFont="1" applyFill="1" applyAlignment="1">
      <alignment vertical="top" wrapText="1"/>
    </xf>
    <xf numFmtId="165" fontId="8" fillId="7" borderId="0" xfId="0" applyNumberFormat="1" applyFont="1" applyFill="1" applyAlignment="1">
      <alignment horizontal="center" vertical="center"/>
    </xf>
    <xf numFmtId="3" fontId="8" fillId="7" borderId="0" xfId="0" applyNumberFormat="1" applyFont="1" applyFill="1" applyAlignment="1">
      <alignment horizontal="center" vertical="center"/>
    </xf>
    <xf numFmtId="0" fontId="10" fillId="4" borderId="0" xfId="0" applyFont="1" applyFill="1" applyAlignment="1">
      <alignment horizontal="center" vertical="center"/>
    </xf>
    <xf numFmtId="0" fontId="0" fillId="8" borderId="0" xfId="0" applyFill="1" applyAlignment="1">
      <alignment vertical="top" wrapText="1"/>
    </xf>
    <xf numFmtId="0" fontId="5" fillId="5" borderId="0" xfId="0" applyFont="1" applyFill="1" applyAlignment="1">
      <alignment horizontal="center" wrapText="1"/>
    </xf>
    <xf numFmtId="0" fontId="0" fillId="5" borderId="0" xfId="0" applyFill="1" applyAlignment="1">
      <alignment vertical="top" wrapText="1"/>
    </xf>
  </cellXfs>
  <cellStyles count="2">
    <cellStyle name="Hyperlink" xfId="1" xr:uid="{00000000-0005-0000-0000-000000000000}"/>
    <cellStyle name="Normal" xfId="0" builtinId="0"/>
  </cellStyles>
  <dxfs count="10">
    <dxf>
      <fill>
        <patternFill>
          <bgColor rgb="FFFCE8E6"/>
        </patternFill>
      </fill>
    </dxf>
    <dxf>
      <fill>
        <patternFill>
          <bgColor rgb="FFE8F4EA"/>
        </patternFill>
      </fill>
    </dxf>
    <dxf>
      <fill>
        <patternFill>
          <bgColor rgb="FFFCE8E6"/>
        </patternFill>
      </fill>
    </dxf>
    <dxf>
      <fill>
        <patternFill>
          <bgColor rgb="FFE8F4EA"/>
        </patternFill>
      </fill>
    </dxf>
    <dxf>
      <fill>
        <patternFill>
          <bgColor rgb="FFFCE8E6"/>
        </patternFill>
      </fill>
    </dxf>
    <dxf>
      <fill>
        <patternFill>
          <bgColor rgb="FFE8F4EA"/>
        </patternFill>
      </fill>
    </dxf>
    <dxf>
      <fill>
        <patternFill>
          <bgColor rgb="FFF7F0D5"/>
        </patternFill>
      </fill>
    </dxf>
    <dxf>
      <fill>
        <patternFill>
          <bgColor rgb="FFE8F4EA"/>
        </patternFill>
      </fill>
    </dxf>
    <dxf>
      <fill>
        <patternFill>
          <bgColor rgb="FFFCE8E6"/>
        </patternFill>
      </fill>
    </dxf>
    <dxf>
      <fill>
        <patternFill>
          <bgColor rgb="FFE8F4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Grouped Primary Themes by University</a:t>
            </a:r>
          </a:p>
        </c:rich>
      </c:tx>
      <c:overlay val="0"/>
    </c:title>
    <c:autoTitleDeleted val="0"/>
    <c:plotArea>
      <c:layout/>
      <c:barChart>
        <c:barDir val="col"/>
        <c:grouping val="stacked"/>
        <c:varyColors val="0"/>
        <c:ser>
          <c:idx val="0"/>
          <c:order val="0"/>
          <c:tx>
            <c:v>Student Experience &amp; Campus</c:v>
          </c:tx>
          <c:invertIfNegative val="1"/>
          <c:cat>
            <c:strRef>
              <c:f>Dashboard!$J$6:$J$10</c:f>
              <c:strCache>
                <c:ptCount val="5"/>
                <c:pt idx="0">
                  <c:v>U of T</c:v>
                </c:pt>
                <c:pt idx="1">
                  <c:v>McMaster</c:v>
                </c:pt>
                <c:pt idx="2">
                  <c:v>York</c:v>
                </c:pt>
                <c:pt idx="3">
                  <c:v>TMU</c:v>
                </c:pt>
                <c:pt idx="4">
                  <c:v>Waterloo</c:v>
                </c:pt>
              </c:strCache>
            </c:strRef>
          </c:cat>
          <c:val>
            <c:numRef>
              <c:f>Dashboard!$K$6:$K$10</c:f>
              <c:numCache>
                <c:formatCode>General</c:formatCode>
                <c:ptCount val="5"/>
                <c:pt idx="0">
                  <c:v>19</c:v>
                </c:pt>
                <c:pt idx="1">
                  <c:v>20</c:v>
                </c:pt>
                <c:pt idx="2">
                  <c:v>28</c:v>
                </c:pt>
                <c:pt idx="3">
                  <c:v>20</c:v>
                </c:pt>
                <c:pt idx="4">
                  <c:v>16</c:v>
                </c:pt>
              </c:numCache>
            </c:numRef>
          </c:val>
          <c:extLst>
            <c:ext xmlns:c16="http://schemas.microsoft.com/office/drawing/2014/chart" uri="{C3380CC4-5D6E-409C-BE32-E72D297353CC}">
              <c16:uniqueId val="{00000000-B2A8-4FED-8CE0-724B92990229}"/>
            </c:ext>
          </c:extLst>
        </c:ser>
        <c:ser>
          <c:idx val="1"/>
          <c:order val="1"/>
          <c:tx>
            <c:v>Academic &amp; Admissions</c:v>
          </c:tx>
          <c:invertIfNegative val="1"/>
          <c:cat>
            <c:strRef>
              <c:f>Dashboard!$J$6:$J$10</c:f>
              <c:strCache>
                <c:ptCount val="5"/>
                <c:pt idx="0">
                  <c:v>U of T</c:v>
                </c:pt>
                <c:pt idx="1">
                  <c:v>McMaster</c:v>
                </c:pt>
                <c:pt idx="2">
                  <c:v>York</c:v>
                </c:pt>
                <c:pt idx="3">
                  <c:v>TMU</c:v>
                </c:pt>
                <c:pt idx="4">
                  <c:v>Waterloo</c:v>
                </c:pt>
              </c:strCache>
            </c:strRef>
          </c:cat>
          <c:val>
            <c:numRef>
              <c:f>Dashboard!$L$6:$L$10</c:f>
              <c:numCache>
                <c:formatCode>General</c:formatCode>
                <c:ptCount val="5"/>
                <c:pt idx="0">
                  <c:v>7</c:v>
                </c:pt>
                <c:pt idx="1">
                  <c:v>7</c:v>
                </c:pt>
                <c:pt idx="2">
                  <c:v>5</c:v>
                </c:pt>
                <c:pt idx="3">
                  <c:v>11</c:v>
                </c:pt>
                <c:pt idx="4">
                  <c:v>8</c:v>
                </c:pt>
              </c:numCache>
            </c:numRef>
          </c:val>
          <c:extLst>
            <c:ext xmlns:c16="http://schemas.microsoft.com/office/drawing/2014/chart" uri="{C3380CC4-5D6E-409C-BE32-E72D297353CC}">
              <c16:uniqueId val="{00000001-B2A8-4FED-8CE0-724B92990229}"/>
            </c:ext>
          </c:extLst>
        </c:ser>
        <c:ser>
          <c:idx val="2"/>
          <c:order val="2"/>
          <c:tx>
            <c:v>Career &amp; Alumni</c:v>
          </c:tx>
          <c:invertIfNegative val="1"/>
          <c:cat>
            <c:strRef>
              <c:f>Dashboard!$J$6:$J$10</c:f>
              <c:strCache>
                <c:ptCount val="5"/>
                <c:pt idx="0">
                  <c:v>U of T</c:v>
                </c:pt>
                <c:pt idx="1">
                  <c:v>McMaster</c:v>
                </c:pt>
                <c:pt idx="2">
                  <c:v>York</c:v>
                </c:pt>
                <c:pt idx="3">
                  <c:v>TMU</c:v>
                </c:pt>
                <c:pt idx="4">
                  <c:v>Waterloo</c:v>
                </c:pt>
              </c:strCache>
            </c:strRef>
          </c:cat>
          <c:val>
            <c:numRef>
              <c:f>Dashboard!$M$6:$M$10</c:f>
              <c:numCache>
                <c:formatCode>General</c:formatCode>
                <c:ptCount val="5"/>
                <c:pt idx="0">
                  <c:v>5</c:v>
                </c:pt>
                <c:pt idx="1">
                  <c:v>5</c:v>
                </c:pt>
                <c:pt idx="2">
                  <c:v>3</c:v>
                </c:pt>
                <c:pt idx="3">
                  <c:v>1</c:v>
                </c:pt>
                <c:pt idx="4">
                  <c:v>2</c:v>
                </c:pt>
              </c:numCache>
            </c:numRef>
          </c:val>
          <c:extLst>
            <c:ext xmlns:c16="http://schemas.microsoft.com/office/drawing/2014/chart" uri="{C3380CC4-5D6E-409C-BE32-E72D297353CC}">
              <c16:uniqueId val="{00000002-B2A8-4FED-8CE0-724B92990229}"/>
            </c:ext>
          </c:extLst>
        </c:ser>
        <c:ser>
          <c:idx val="3"/>
          <c:order val="3"/>
          <c:tx>
            <c:v>Reputation/Research</c:v>
          </c:tx>
          <c:invertIfNegative val="1"/>
          <c:cat>
            <c:strRef>
              <c:f>Dashboard!$J$6:$J$10</c:f>
              <c:strCache>
                <c:ptCount val="5"/>
                <c:pt idx="0">
                  <c:v>U of T</c:v>
                </c:pt>
                <c:pt idx="1">
                  <c:v>McMaster</c:v>
                </c:pt>
                <c:pt idx="2">
                  <c:v>York</c:v>
                </c:pt>
                <c:pt idx="3">
                  <c:v>TMU</c:v>
                </c:pt>
                <c:pt idx="4">
                  <c:v>Waterloo</c:v>
                </c:pt>
              </c:strCache>
            </c:strRef>
          </c:cat>
          <c:val>
            <c:numRef>
              <c:f>Dashboard!$N$6:$N$10</c:f>
              <c:numCache>
                <c:formatCode>General</c:formatCode>
                <c:ptCount val="5"/>
                <c:pt idx="0">
                  <c:v>5</c:v>
                </c:pt>
                <c:pt idx="1">
                  <c:v>4</c:v>
                </c:pt>
                <c:pt idx="2">
                  <c:v>0</c:v>
                </c:pt>
                <c:pt idx="3">
                  <c:v>4</c:v>
                </c:pt>
                <c:pt idx="4">
                  <c:v>10</c:v>
                </c:pt>
              </c:numCache>
            </c:numRef>
          </c:val>
          <c:extLst>
            <c:ext xmlns:c16="http://schemas.microsoft.com/office/drawing/2014/chart" uri="{C3380CC4-5D6E-409C-BE32-E72D297353CC}">
              <c16:uniqueId val="{00000003-B2A8-4FED-8CE0-724B92990229}"/>
            </c:ext>
          </c:extLst>
        </c:ser>
        <c:dLbls>
          <c:showLegendKey val="0"/>
          <c:showVal val="0"/>
          <c:showCatName val="0"/>
          <c:showSerName val="0"/>
          <c:showPercent val="0"/>
          <c:showBubbleSize val="0"/>
        </c:dLbls>
        <c:gapWidth val="95"/>
        <c:overlap val="100"/>
        <c:axId val="48650112"/>
        <c:axId val="48672768"/>
      </c:bar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dTable>
        <c:showHorzBorder val="1"/>
        <c:showVertBorder val="1"/>
        <c:showOutline val="1"/>
        <c:showKeys val="1"/>
      </c:dTable>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Grouped Marketing Approaches by University</a:t>
            </a:r>
          </a:p>
        </c:rich>
      </c:tx>
      <c:overlay val="0"/>
    </c:title>
    <c:autoTitleDeleted val="0"/>
    <c:plotArea>
      <c:layout/>
      <c:barChart>
        <c:barDir val="col"/>
        <c:grouping val="stacked"/>
        <c:varyColors val="0"/>
        <c:ser>
          <c:idx val="0"/>
          <c:order val="0"/>
          <c:tx>
            <c:v>Engagement/Relationship</c:v>
          </c:tx>
          <c:invertIfNegative val="1"/>
          <c:cat>
            <c:strRef>
              <c:f>Dashboard!$J$14:$J$18</c:f>
              <c:strCache>
                <c:ptCount val="5"/>
                <c:pt idx="0">
                  <c:v>U of T</c:v>
                </c:pt>
                <c:pt idx="1">
                  <c:v>McMaster</c:v>
                </c:pt>
                <c:pt idx="2">
                  <c:v>York</c:v>
                </c:pt>
                <c:pt idx="3">
                  <c:v>TMU</c:v>
                </c:pt>
                <c:pt idx="4">
                  <c:v>Waterloo</c:v>
                </c:pt>
              </c:strCache>
            </c:strRef>
          </c:cat>
          <c:val>
            <c:numRef>
              <c:f>Dashboard!$K$14:$K$18</c:f>
              <c:numCache>
                <c:formatCode>General</c:formatCode>
                <c:ptCount val="5"/>
                <c:pt idx="0">
                  <c:v>16</c:v>
                </c:pt>
                <c:pt idx="1">
                  <c:v>22</c:v>
                </c:pt>
                <c:pt idx="2">
                  <c:v>21</c:v>
                </c:pt>
                <c:pt idx="3">
                  <c:v>15</c:v>
                </c:pt>
                <c:pt idx="4">
                  <c:v>15</c:v>
                </c:pt>
              </c:numCache>
            </c:numRef>
          </c:val>
          <c:extLst>
            <c:ext xmlns:c16="http://schemas.microsoft.com/office/drawing/2014/chart" uri="{C3380CC4-5D6E-409C-BE32-E72D297353CC}">
              <c16:uniqueId val="{00000000-9C40-462F-8E53-1C6180AEA696}"/>
            </c:ext>
          </c:extLst>
        </c:ser>
        <c:ser>
          <c:idx val="1"/>
          <c:order val="1"/>
          <c:tx>
            <c:v>Promotional/Conversion</c:v>
          </c:tx>
          <c:invertIfNegative val="1"/>
          <c:cat>
            <c:strRef>
              <c:f>Dashboard!$J$14:$J$18</c:f>
              <c:strCache>
                <c:ptCount val="5"/>
                <c:pt idx="0">
                  <c:v>U of T</c:v>
                </c:pt>
                <c:pt idx="1">
                  <c:v>McMaster</c:v>
                </c:pt>
                <c:pt idx="2">
                  <c:v>York</c:v>
                </c:pt>
                <c:pt idx="3">
                  <c:v>TMU</c:v>
                </c:pt>
                <c:pt idx="4">
                  <c:v>Waterloo</c:v>
                </c:pt>
              </c:strCache>
            </c:strRef>
          </c:cat>
          <c:val>
            <c:numRef>
              <c:f>Dashboard!$L$14:$L$18</c:f>
              <c:numCache>
                <c:formatCode>General</c:formatCode>
                <c:ptCount val="5"/>
                <c:pt idx="0">
                  <c:v>10</c:v>
                </c:pt>
                <c:pt idx="1">
                  <c:v>10</c:v>
                </c:pt>
                <c:pt idx="2">
                  <c:v>12</c:v>
                </c:pt>
                <c:pt idx="3">
                  <c:v>14</c:v>
                </c:pt>
                <c:pt idx="4">
                  <c:v>11</c:v>
                </c:pt>
              </c:numCache>
            </c:numRef>
          </c:val>
          <c:extLst>
            <c:ext xmlns:c16="http://schemas.microsoft.com/office/drawing/2014/chart" uri="{C3380CC4-5D6E-409C-BE32-E72D297353CC}">
              <c16:uniqueId val="{00000001-9C40-462F-8E53-1C6180AEA696}"/>
            </c:ext>
          </c:extLst>
        </c:ser>
        <c:ser>
          <c:idx val="2"/>
          <c:order val="2"/>
          <c:tx>
            <c:v>Reputation-focused</c:v>
          </c:tx>
          <c:invertIfNegative val="1"/>
          <c:cat>
            <c:strRef>
              <c:f>Dashboard!$J$14:$J$18</c:f>
              <c:strCache>
                <c:ptCount val="5"/>
                <c:pt idx="0">
                  <c:v>U of T</c:v>
                </c:pt>
                <c:pt idx="1">
                  <c:v>McMaster</c:v>
                </c:pt>
                <c:pt idx="2">
                  <c:v>York</c:v>
                </c:pt>
                <c:pt idx="3">
                  <c:v>TMU</c:v>
                </c:pt>
                <c:pt idx="4">
                  <c:v>Waterloo</c:v>
                </c:pt>
              </c:strCache>
            </c:strRef>
          </c:cat>
          <c:val>
            <c:numRef>
              <c:f>Dashboard!$M$14:$M$18</c:f>
              <c:numCache>
                <c:formatCode>General</c:formatCode>
                <c:ptCount val="5"/>
                <c:pt idx="0">
                  <c:v>4</c:v>
                </c:pt>
                <c:pt idx="1">
                  <c:v>2</c:v>
                </c:pt>
                <c:pt idx="2">
                  <c:v>1</c:v>
                </c:pt>
                <c:pt idx="3">
                  <c:v>4</c:v>
                </c:pt>
                <c:pt idx="4">
                  <c:v>10</c:v>
                </c:pt>
              </c:numCache>
            </c:numRef>
          </c:val>
          <c:extLst>
            <c:ext xmlns:c16="http://schemas.microsoft.com/office/drawing/2014/chart" uri="{C3380CC4-5D6E-409C-BE32-E72D297353CC}">
              <c16:uniqueId val="{00000002-9C40-462F-8E53-1C6180AEA696}"/>
            </c:ext>
          </c:extLst>
        </c:ser>
        <c:ser>
          <c:idx val="3"/>
          <c:order val="3"/>
          <c:tx>
            <c:v>Informational</c:v>
          </c:tx>
          <c:invertIfNegative val="1"/>
          <c:cat>
            <c:strRef>
              <c:f>Dashboard!$J$14:$J$18</c:f>
              <c:strCache>
                <c:ptCount val="5"/>
                <c:pt idx="0">
                  <c:v>U of T</c:v>
                </c:pt>
                <c:pt idx="1">
                  <c:v>McMaster</c:v>
                </c:pt>
                <c:pt idx="2">
                  <c:v>York</c:v>
                </c:pt>
                <c:pt idx="3">
                  <c:v>TMU</c:v>
                </c:pt>
                <c:pt idx="4">
                  <c:v>Waterloo</c:v>
                </c:pt>
              </c:strCache>
            </c:strRef>
          </c:cat>
          <c:val>
            <c:numRef>
              <c:f>Dashboard!$N$14:$N$18</c:f>
              <c:numCache>
                <c:formatCode>General</c:formatCode>
                <c:ptCount val="5"/>
                <c:pt idx="0">
                  <c:v>6</c:v>
                </c:pt>
                <c:pt idx="1">
                  <c:v>2</c:v>
                </c:pt>
                <c:pt idx="2">
                  <c:v>2</c:v>
                </c:pt>
                <c:pt idx="3">
                  <c:v>3</c:v>
                </c:pt>
                <c:pt idx="4">
                  <c:v>0</c:v>
                </c:pt>
              </c:numCache>
            </c:numRef>
          </c:val>
          <c:extLst>
            <c:ext xmlns:c16="http://schemas.microsoft.com/office/drawing/2014/chart" uri="{C3380CC4-5D6E-409C-BE32-E72D297353CC}">
              <c16:uniqueId val="{00000003-9C40-462F-8E53-1C6180AEA696}"/>
            </c:ext>
          </c:extLst>
        </c:ser>
        <c:dLbls>
          <c:showLegendKey val="0"/>
          <c:showVal val="0"/>
          <c:showCatName val="0"/>
          <c:showSerName val="0"/>
          <c:showPercent val="0"/>
          <c:showBubbleSize val="0"/>
        </c:dLbls>
        <c:gapWidth val="55"/>
        <c:overlap val="100"/>
        <c:axId val="48650112"/>
        <c:axId val="48672768"/>
      </c:bar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r"/>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Post Format Mix</a:t>
            </a:r>
          </a:p>
        </c:rich>
      </c:tx>
      <c:overlay val="0"/>
    </c:title>
    <c:autoTitleDeleted val="0"/>
    <c:plotArea>
      <c:layout/>
      <c:barChart>
        <c:barDir val="col"/>
        <c:grouping val="clustered"/>
        <c:varyColors val="0"/>
        <c:ser>
          <c:idx val="0"/>
          <c:order val="0"/>
          <c:tx>
            <c:v>Reel</c:v>
          </c:tx>
          <c:invertIfNegative val="1"/>
          <c:cat>
            <c:strRef>
              <c:f>Dashboard!$J$22:$J$26</c:f>
              <c:strCache>
                <c:ptCount val="5"/>
                <c:pt idx="0">
                  <c:v>U of T</c:v>
                </c:pt>
                <c:pt idx="1">
                  <c:v>McMaster</c:v>
                </c:pt>
                <c:pt idx="2">
                  <c:v>York</c:v>
                </c:pt>
                <c:pt idx="3">
                  <c:v>TMU</c:v>
                </c:pt>
                <c:pt idx="4">
                  <c:v>Waterloo</c:v>
                </c:pt>
              </c:strCache>
            </c:strRef>
          </c:cat>
          <c:val>
            <c:numRef>
              <c:f>Dashboard!$K$22:$K$26</c:f>
              <c:numCache>
                <c:formatCode>General</c:formatCode>
                <c:ptCount val="5"/>
                <c:pt idx="0">
                  <c:v>23</c:v>
                </c:pt>
                <c:pt idx="1">
                  <c:v>21</c:v>
                </c:pt>
                <c:pt idx="2">
                  <c:v>28</c:v>
                </c:pt>
                <c:pt idx="3">
                  <c:v>26</c:v>
                </c:pt>
                <c:pt idx="4">
                  <c:v>16</c:v>
                </c:pt>
              </c:numCache>
            </c:numRef>
          </c:val>
          <c:extLst>
            <c:ext xmlns:c16="http://schemas.microsoft.com/office/drawing/2014/chart" uri="{C3380CC4-5D6E-409C-BE32-E72D297353CC}">
              <c16:uniqueId val="{00000000-E8B7-420E-B69E-F8D56A5846D9}"/>
            </c:ext>
          </c:extLst>
        </c:ser>
        <c:ser>
          <c:idx val="1"/>
          <c:order val="1"/>
          <c:tx>
            <c:v>Image</c:v>
          </c:tx>
          <c:invertIfNegative val="1"/>
          <c:cat>
            <c:strRef>
              <c:f>Dashboard!$J$22:$J$26</c:f>
              <c:strCache>
                <c:ptCount val="5"/>
                <c:pt idx="0">
                  <c:v>U of T</c:v>
                </c:pt>
                <c:pt idx="1">
                  <c:v>McMaster</c:v>
                </c:pt>
                <c:pt idx="2">
                  <c:v>York</c:v>
                </c:pt>
                <c:pt idx="3">
                  <c:v>TMU</c:v>
                </c:pt>
                <c:pt idx="4">
                  <c:v>Waterloo</c:v>
                </c:pt>
              </c:strCache>
            </c:strRef>
          </c:cat>
          <c:val>
            <c:numRef>
              <c:f>Dashboard!$L$22:$L$26</c:f>
              <c:numCache>
                <c:formatCode>General</c:formatCode>
                <c:ptCount val="5"/>
                <c:pt idx="0">
                  <c:v>11</c:v>
                </c:pt>
                <c:pt idx="1">
                  <c:v>2</c:v>
                </c:pt>
                <c:pt idx="2">
                  <c:v>4</c:v>
                </c:pt>
                <c:pt idx="3">
                  <c:v>7</c:v>
                </c:pt>
                <c:pt idx="4">
                  <c:v>10</c:v>
                </c:pt>
              </c:numCache>
            </c:numRef>
          </c:val>
          <c:extLst>
            <c:ext xmlns:c16="http://schemas.microsoft.com/office/drawing/2014/chart" uri="{C3380CC4-5D6E-409C-BE32-E72D297353CC}">
              <c16:uniqueId val="{00000001-E8B7-420E-B69E-F8D56A5846D9}"/>
            </c:ext>
          </c:extLst>
        </c:ser>
        <c:ser>
          <c:idx val="2"/>
          <c:order val="2"/>
          <c:tx>
            <c:v>Carousel</c:v>
          </c:tx>
          <c:invertIfNegative val="1"/>
          <c:cat>
            <c:strRef>
              <c:f>Dashboard!$J$22:$J$26</c:f>
              <c:strCache>
                <c:ptCount val="5"/>
                <c:pt idx="0">
                  <c:v>U of T</c:v>
                </c:pt>
                <c:pt idx="1">
                  <c:v>McMaster</c:v>
                </c:pt>
                <c:pt idx="2">
                  <c:v>York</c:v>
                </c:pt>
                <c:pt idx="3">
                  <c:v>TMU</c:v>
                </c:pt>
                <c:pt idx="4">
                  <c:v>Waterloo</c:v>
                </c:pt>
              </c:strCache>
            </c:strRef>
          </c:cat>
          <c:val>
            <c:numRef>
              <c:f>Dashboard!$M$22:$M$26</c:f>
              <c:numCache>
                <c:formatCode>General</c:formatCode>
                <c:ptCount val="5"/>
                <c:pt idx="0">
                  <c:v>2</c:v>
                </c:pt>
                <c:pt idx="1">
                  <c:v>13</c:v>
                </c:pt>
                <c:pt idx="2">
                  <c:v>4</c:v>
                </c:pt>
                <c:pt idx="3">
                  <c:v>3</c:v>
                </c:pt>
                <c:pt idx="4">
                  <c:v>10</c:v>
                </c:pt>
              </c:numCache>
            </c:numRef>
          </c:val>
          <c:extLst>
            <c:ext xmlns:c16="http://schemas.microsoft.com/office/drawing/2014/chart" uri="{C3380CC4-5D6E-409C-BE32-E72D297353CC}">
              <c16:uniqueId val="{00000002-E8B7-420E-B69E-F8D56A5846D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CTA-Present Rate</a:t>
            </a:r>
          </a:p>
        </c:rich>
      </c:tx>
      <c:overlay val="0"/>
    </c:title>
    <c:autoTitleDeleted val="0"/>
    <c:plotArea>
      <c:layout/>
      <c:barChart>
        <c:barDir val="bar"/>
        <c:grouping val="clustered"/>
        <c:varyColors val="0"/>
        <c:ser>
          <c:idx val="0"/>
          <c:order val="0"/>
          <c:tx>
            <c:v>CTA Rate</c:v>
          </c:tx>
          <c:invertIfNegative val="1"/>
          <c:cat>
            <c:strRef>
              <c:f>Dashboard!$J$30:$J$34</c:f>
              <c:strCache>
                <c:ptCount val="5"/>
                <c:pt idx="0">
                  <c:v>U of T</c:v>
                </c:pt>
                <c:pt idx="1">
                  <c:v>McMaster</c:v>
                </c:pt>
                <c:pt idx="2">
                  <c:v>York</c:v>
                </c:pt>
                <c:pt idx="3">
                  <c:v>TMU</c:v>
                </c:pt>
                <c:pt idx="4">
                  <c:v>Waterloo</c:v>
                </c:pt>
              </c:strCache>
            </c:strRef>
          </c:cat>
          <c:val>
            <c:numRef>
              <c:f>Dashboard!$K$30:$K$34</c:f>
              <c:numCache>
                <c:formatCode>0.0%</c:formatCode>
                <c:ptCount val="5"/>
                <c:pt idx="0">
                  <c:v>0.86111111111111116</c:v>
                </c:pt>
                <c:pt idx="1">
                  <c:v>0.63888888888888884</c:v>
                </c:pt>
                <c:pt idx="2">
                  <c:v>0.41666666666666669</c:v>
                </c:pt>
                <c:pt idx="3">
                  <c:v>0.58333333333333337</c:v>
                </c:pt>
                <c:pt idx="4">
                  <c:v>0.86111111111111116</c:v>
                </c:pt>
              </c:numCache>
            </c:numRef>
          </c:val>
          <c:extLst>
            <c:ext xmlns:c16="http://schemas.microsoft.com/office/drawing/2014/chart" uri="{C3380CC4-5D6E-409C-BE32-E72D297353CC}">
              <c16:uniqueId val="{00000000-6A8E-46F9-907C-B57040B8F10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Current Followers - 26 July 2026</a:t>
            </a:r>
          </a:p>
        </c:rich>
      </c:tx>
      <c:overlay val="0"/>
    </c:title>
    <c:autoTitleDeleted val="0"/>
    <c:plotArea>
      <c:layout/>
      <c:barChart>
        <c:barDir val="bar"/>
        <c:grouping val="clustered"/>
        <c:varyColors val="0"/>
        <c:ser>
          <c:idx val="0"/>
          <c:order val="0"/>
          <c:tx>
            <c:v>Current Followers</c:v>
          </c:tx>
          <c:invertIfNegative val="1"/>
          <c:cat>
            <c:strRef>
              <c:f>'Account Snapshot'!$J$51:$J$55</c:f>
              <c:strCache>
                <c:ptCount val="5"/>
                <c:pt idx="0">
                  <c:v>U of T</c:v>
                </c:pt>
                <c:pt idx="1">
                  <c:v>McMaster</c:v>
                </c:pt>
                <c:pt idx="2">
                  <c:v>York</c:v>
                </c:pt>
                <c:pt idx="3">
                  <c:v>TMU</c:v>
                </c:pt>
                <c:pt idx="4">
                  <c:v>Waterloo</c:v>
                </c:pt>
              </c:strCache>
            </c:strRef>
          </c:cat>
          <c:val>
            <c:numRef>
              <c:f>'Account Snapshot'!$K$51:$K$55</c:f>
              <c:numCache>
                <c:formatCode>#,##0</c:formatCode>
                <c:ptCount val="5"/>
                <c:pt idx="0">
                  <c:v>374000</c:v>
                </c:pt>
                <c:pt idx="1">
                  <c:v>109000</c:v>
                </c:pt>
                <c:pt idx="2">
                  <c:v>98900</c:v>
                </c:pt>
                <c:pt idx="3">
                  <c:v>79700</c:v>
                </c:pt>
                <c:pt idx="4">
                  <c:v>104000</c:v>
                </c:pt>
              </c:numCache>
            </c:numRef>
          </c:val>
          <c:extLst>
            <c:ext xmlns:c16="http://schemas.microsoft.com/office/drawing/2014/chart" uri="{C3380CC4-5D6E-409C-BE32-E72D297353CC}">
              <c16:uniqueId val="{00000000-EDA8-47CF-A080-79DA3BFDF96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152400</xdr:rowOff>
    </xdr:from>
    <xdr:to>
      <xdr:col>9</xdr:col>
      <xdr:colOff>0</xdr:colOff>
      <xdr:row>49</xdr:row>
      <xdr:rowOff>152400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53</xdr:row>
      <xdr:rowOff>0</xdr:rowOff>
    </xdr:from>
    <xdr:to>
      <xdr:col>9</xdr:col>
      <xdr:colOff>0</xdr:colOff>
      <xdr:row>71</xdr:row>
      <xdr:rowOff>0</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38</xdr:row>
      <xdr:rowOff>152400</xdr:rowOff>
    </xdr:from>
    <xdr:to>
      <xdr:col>13</xdr:col>
      <xdr:colOff>590550</xdr:colOff>
      <xdr:row>62</xdr:row>
      <xdr:rowOff>152400</xdr:rowOff>
    </xdr:to>
    <xdr:graphicFrame macro="">
      <xdr:nvGraphicFramePr>
        <xdr:cNvPr id="4" nam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63</xdr:row>
      <xdr:rowOff>57150</xdr:rowOff>
    </xdr:from>
    <xdr:to>
      <xdr:col>13</xdr:col>
      <xdr:colOff>171450</xdr:colOff>
      <xdr:row>86</xdr:row>
      <xdr:rowOff>114300</xdr:rowOff>
    </xdr:to>
    <xdr:graphicFrame macro="">
      <xdr:nvGraphicFramePr>
        <xdr:cNvPr id="5" nam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4</xdr:row>
      <xdr:rowOff>0</xdr:rowOff>
    </xdr:from>
    <xdr:to>
      <xdr:col>17</xdr:col>
      <xdr:colOff>0</xdr:colOff>
      <xdr:row>20</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 displayName="RawData" ref="A1:O181">
  <autoFilter ref="A1:O181" xr:uid="{00000000-0009-0000-0100-000001000000}"/>
  <tableColumns count="15">
    <tableColumn id="1" xr3:uid="{00000000-0010-0000-0000-000001000000}" name="Post ID"/>
    <tableColumn id="2" xr3:uid="{00000000-0010-0000-0000-000002000000}" name="University"/>
    <tableColumn id="3" xr3:uid="{00000000-0010-0000-0000-000003000000}" name="Post Date"/>
    <tableColumn id="4" xr3:uid="{00000000-0010-0000-0000-000004000000}" name="Month"/>
    <tableColumn id="5" xr3:uid="{00000000-0010-0000-0000-000005000000}" name="Year"/>
    <tableColumn id="6" xr3:uid="{00000000-0010-0000-0000-000006000000}" name="Instagram URL"/>
    <tableColumn id="7" xr3:uid="{00000000-0010-0000-0000-000007000000}" name="Post Type"/>
    <tableColumn id="8" xr3:uid="{00000000-0010-0000-0000-000008000000}" name="Recruitment-Oriented?"/>
    <tableColumn id="9" xr3:uid="{00000000-0010-0000-0000-000009000000}" name="Primary Theme"/>
    <tableColumn id="10" xr3:uid="{00000000-0010-0000-0000-00000A000000}" name="Secondary Theme"/>
    <tableColumn id="11" xr3:uid="{00000000-0010-0000-0000-00000B000000}" name="Marketing Approach"/>
    <tableColumn id="13" xr3:uid="{00000000-0010-0000-0000-00000D000000}" name="CTA Present?"/>
    <tableColumn id="14" xr3:uid="{00000000-0010-0000-0000-00000E000000}" name="Likes"/>
    <tableColumn id="15" xr3:uid="{00000000-0010-0000-0000-00000F000000}" name="Comments"/>
    <tableColumn id="21" xr3:uid="{00000000-0010-0000-0000-000015000000}" name="Caption Summa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sedAnalysisData" displayName="RevisedAnalysisData" ref="A1:V181">
  <tableColumns count="22">
    <tableColumn id="1" xr3:uid="{00000000-0010-0000-0100-000001000000}" name="Post ID"/>
    <tableColumn id="2" xr3:uid="{00000000-0010-0000-0100-000002000000}" name="University"/>
    <tableColumn id="3" xr3:uid="{00000000-0010-0000-0100-000003000000}" name="Post Date"/>
    <tableColumn id="4" xr3:uid="{00000000-0010-0000-0100-000004000000}" name="Month"/>
    <tableColumn id="5" xr3:uid="{00000000-0010-0000-0100-000005000000}" name="Year"/>
    <tableColumn id="6" xr3:uid="{00000000-0010-0000-0100-000006000000}" name="Instagram URL"/>
    <tableColumn id="7" xr3:uid="{00000000-0010-0000-0100-000007000000}" name="Post Type"/>
    <tableColumn id="8" xr3:uid="{00000000-0010-0000-0100-000008000000}" name="Recruitment-Oriented?"/>
    <tableColumn id="9" xr3:uid="{00000000-0010-0000-0100-000009000000}" name="Primary Theme"/>
    <tableColumn id="10" xr3:uid="{00000000-0010-0000-0100-00000A000000}" name="Secondary Theme"/>
    <tableColumn id="11" xr3:uid="{00000000-0010-0000-0100-00000B000000}" name="Marketing Approach"/>
    <tableColumn id="12" xr3:uid="{00000000-0010-0000-0100-00000C000000}" name="CTA Present?"/>
    <tableColumn id="13" xr3:uid="{00000000-0010-0000-0100-00000D000000}" name="Likes"/>
    <tableColumn id="14" xr3:uid="{00000000-0010-0000-0100-00000E000000}" name="Comments"/>
    <tableColumn id="15" xr3:uid="{00000000-0010-0000-0100-00000F000000}" name="Caption Summary"/>
    <tableColumn id="16" xr3:uid="{00000000-0010-0000-0100-000010000000}" name="Primary Theme Group"/>
    <tableColumn id="17" xr3:uid="{00000000-0010-0000-0100-000011000000}" name="Secondary Theme Group"/>
    <tableColumn id="18" xr3:uid="{00000000-0010-0000-0100-000012000000}" name="Approach Group"/>
    <tableColumn id="19" xr3:uid="{00000000-0010-0000-0100-000013000000}" name="Duplicate ID Check"/>
    <tableColumn id="20" xr3:uid="{00000000-0010-0000-0100-000014000000}" name="Duplicate URL Check"/>
    <tableColumn id="21" xr3:uid="{00000000-0010-0000-0100-000015000000}" name="Date Check"/>
    <tableColumn id="22" xr3:uid="{00000000-0010-0000-0100-000016000000}" name="Record Not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
  <sheetViews>
    <sheetView workbookViewId="0">
      <selection activeCell="I6" sqref="I6"/>
    </sheetView>
  </sheetViews>
  <sheetFormatPr defaultRowHeight="14.4" x14ac:dyDescent="0.3"/>
  <cols>
    <col min="1" max="1" width="12" style="1" customWidth="1"/>
    <col min="2" max="2" width="30" style="1" customWidth="1"/>
    <col min="3" max="3" width="14" style="1" customWidth="1"/>
    <col min="4" max="4" width="12" style="1" customWidth="1"/>
    <col min="5" max="5" width="8" style="1" customWidth="1"/>
    <col min="6" max="6" width="34.6640625" style="1" customWidth="1"/>
    <col min="7" max="7" width="14" style="1" customWidth="1"/>
    <col min="8" max="8" width="14.5546875" style="1" customWidth="1"/>
    <col min="9" max="9" width="22" style="1" customWidth="1"/>
    <col min="10" max="10" width="29.6640625" style="1" customWidth="1"/>
    <col min="11" max="11" width="23.44140625" style="1" customWidth="1"/>
    <col min="12" max="12" width="20.77734375" style="1" customWidth="1"/>
    <col min="13" max="13" width="13.6640625" style="1" customWidth="1"/>
    <col min="14" max="14" width="16.21875" style="1" customWidth="1"/>
    <col min="15" max="15" width="100.109375" style="1" customWidth="1"/>
    <col min="16" max="16384" width="8.88671875" style="1"/>
  </cols>
  <sheetData>
    <row r="1" spans="1:15"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ht="43.2" x14ac:dyDescent="0.3">
      <c r="A2" s="1" t="s">
        <v>15</v>
      </c>
      <c r="B2" s="1" t="s">
        <v>16</v>
      </c>
      <c r="C2" s="2">
        <v>45677</v>
      </c>
      <c r="D2" s="1" t="str">
        <f t="shared" ref="D2:D25" si="0">IF(C2="","",TEXT(C2,"mmmm"))</f>
        <v>January</v>
      </c>
      <c r="E2" s="1">
        <f>IF(C2="","",YEAR(C2))</f>
        <v>2025</v>
      </c>
      <c r="F2" s="3" t="s">
        <v>17</v>
      </c>
      <c r="G2" s="1" t="s">
        <v>18</v>
      </c>
      <c r="H2" s="1" t="s">
        <v>19</v>
      </c>
      <c r="I2" s="1" t="s">
        <v>20</v>
      </c>
      <c r="J2" s="1" t="s">
        <v>21</v>
      </c>
      <c r="K2" s="1" t="s">
        <v>22</v>
      </c>
      <c r="L2" s="1" t="s">
        <v>19</v>
      </c>
      <c r="M2" s="1">
        <v>574</v>
      </c>
      <c r="N2" s="1">
        <v>17</v>
      </c>
      <c r="O2" s="4" t="s">
        <v>23</v>
      </c>
    </row>
    <row r="3" spans="1:15" ht="23.7" customHeight="1" x14ac:dyDescent="0.3">
      <c r="A3" s="1" t="s">
        <v>24</v>
      </c>
      <c r="B3" s="1" t="s">
        <v>16</v>
      </c>
      <c r="C3" s="2">
        <v>45684</v>
      </c>
      <c r="D3" s="1" t="str">
        <f t="shared" si="0"/>
        <v>January</v>
      </c>
      <c r="E3" s="1">
        <f t="shared" ref="E3:E25" si="1">IF(C3="","",YEAR(C3))</f>
        <v>2025</v>
      </c>
      <c r="F3" s="3" t="s">
        <v>25</v>
      </c>
      <c r="G3" s="1" t="s">
        <v>26</v>
      </c>
      <c r="H3" s="1" t="s">
        <v>19</v>
      </c>
      <c r="I3" s="1" t="s">
        <v>27</v>
      </c>
      <c r="J3" s="1" t="s">
        <v>28</v>
      </c>
      <c r="K3" s="1" t="s">
        <v>29</v>
      </c>
      <c r="L3" s="1" t="s">
        <v>19</v>
      </c>
      <c r="M3" s="1">
        <v>1513</v>
      </c>
      <c r="N3" s="1">
        <v>17</v>
      </c>
      <c r="O3" s="4" t="s">
        <v>30</v>
      </c>
    </row>
    <row r="4" spans="1:15" ht="43.2" x14ac:dyDescent="0.3">
      <c r="A4" s="1" t="s">
        <v>31</v>
      </c>
      <c r="B4" s="1" t="s">
        <v>16</v>
      </c>
      <c r="C4" s="2">
        <v>45687</v>
      </c>
      <c r="D4" s="1" t="str">
        <f t="shared" si="0"/>
        <v>January</v>
      </c>
      <c r="E4" s="1">
        <f t="shared" si="1"/>
        <v>2025</v>
      </c>
      <c r="F4" s="3" t="s">
        <v>32</v>
      </c>
      <c r="G4" s="1" t="s">
        <v>18</v>
      </c>
      <c r="H4" s="1" t="s">
        <v>19</v>
      </c>
      <c r="I4" s="1" t="s">
        <v>33</v>
      </c>
      <c r="J4" s="1" t="s">
        <v>34</v>
      </c>
      <c r="K4" s="1" t="s">
        <v>35</v>
      </c>
      <c r="L4" s="1" t="s">
        <v>19</v>
      </c>
      <c r="M4" s="1">
        <v>248</v>
      </c>
      <c r="N4" s="1">
        <v>3</v>
      </c>
      <c r="O4" s="4" t="s">
        <v>36</v>
      </c>
    </row>
    <row r="5" spans="1:15" ht="43.2" x14ac:dyDescent="0.3">
      <c r="A5" s="1" t="s">
        <v>37</v>
      </c>
      <c r="B5" s="1" t="s">
        <v>16</v>
      </c>
      <c r="C5" s="2">
        <v>45693</v>
      </c>
      <c r="D5" s="1" t="str">
        <f t="shared" si="0"/>
        <v>February</v>
      </c>
      <c r="E5" s="1">
        <f t="shared" si="1"/>
        <v>2025</v>
      </c>
      <c r="F5" s="3" t="s">
        <v>38</v>
      </c>
      <c r="G5" s="1" t="s">
        <v>26</v>
      </c>
      <c r="H5" s="1" t="s">
        <v>19</v>
      </c>
      <c r="I5" s="1" t="s">
        <v>39</v>
      </c>
      <c r="J5" s="1" t="s">
        <v>27</v>
      </c>
      <c r="K5" s="1" t="s">
        <v>29</v>
      </c>
      <c r="L5" s="1" t="s">
        <v>19</v>
      </c>
      <c r="M5" s="1">
        <v>1031</v>
      </c>
      <c r="N5" s="1">
        <v>16</v>
      </c>
      <c r="O5" s="4" t="s">
        <v>40</v>
      </c>
    </row>
    <row r="6" spans="1:15" ht="43.2" x14ac:dyDescent="0.3">
      <c r="A6" s="1" t="s">
        <v>41</v>
      </c>
      <c r="B6" s="1" t="s">
        <v>16</v>
      </c>
      <c r="C6" s="2">
        <v>45699</v>
      </c>
      <c r="D6" s="1" t="str">
        <f t="shared" si="0"/>
        <v>February</v>
      </c>
      <c r="E6" s="1">
        <f t="shared" si="1"/>
        <v>2025</v>
      </c>
      <c r="F6" s="3" t="s">
        <v>42</v>
      </c>
      <c r="G6" s="1" t="s">
        <v>18</v>
      </c>
      <c r="H6" s="1" t="s">
        <v>19</v>
      </c>
      <c r="I6" s="1" t="s">
        <v>20</v>
      </c>
      <c r="J6" s="1" t="s">
        <v>21</v>
      </c>
      <c r="K6" s="1" t="s">
        <v>43</v>
      </c>
      <c r="L6" s="1" t="s">
        <v>19</v>
      </c>
      <c r="M6" s="1">
        <v>2628</v>
      </c>
      <c r="N6" s="1">
        <v>33</v>
      </c>
      <c r="O6" s="1" t="s">
        <v>44</v>
      </c>
    </row>
    <row r="7" spans="1:15" ht="43.2" x14ac:dyDescent="0.3">
      <c r="A7" s="1" t="s">
        <v>45</v>
      </c>
      <c r="B7" s="1" t="s">
        <v>16</v>
      </c>
      <c r="C7" s="2">
        <v>45702</v>
      </c>
      <c r="D7" s="1" t="str">
        <f t="shared" si="0"/>
        <v>February</v>
      </c>
      <c r="E7" s="1">
        <f t="shared" si="1"/>
        <v>2025</v>
      </c>
      <c r="F7" s="3" t="s">
        <v>46</v>
      </c>
      <c r="G7" s="1" t="s">
        <v>47</v>
      </c>
      <c r="H7" s="1" t="s">
        <v>19</v>
      </c>
      <c r="I7" s="1" t="s">
        <v>48</v>
      </c>
      <c r="J7" s="1" t="s">
        <v>39</v>
      </c>
      <c r="K7" s="1" t="s">
        <v>22</v>
      </c>
      <c r="L7" s="1" t="s">
        <v>19</v>
      </c>
      <c r="M7" s="1">
        <v>1516</v>
      </c>
      <c r="N7" s="1">
        <v>9</v>
      </c>
      <c r="O7" s="4" t="s">
        <v>49</v>
      </c>
    </row>
    <row r="8" spans="1:15" ht="43.2" x14ac:dyDescent="0.3">
      <c r="A8" s="1" t="s">
        <v>50</v>
      </c>
      <c r="B8" s="1" t="s">
        <v>16</v>
      </c>
      <c r="C8" s="2">
        <v>45729</v>
      </c>
      <c r="D8" s="1" t="str">
        <f t="shared" si="0"/>
        <v>March</v>
      </c>
      <c r="E8" s="1">
        <f t="shared" si="1"/>
        <v>2025</v>
      </c>
      <c r="F8" s="3" t="s">
        <v>51</v>
      </c>
      <c r="G8" s="1" t="s">
        <v>18</v>
      </c>
      <c r="H8" s="1" t="s">
        <v>19</v>
      </c>
      <c r="I8" s="1" t="s">
        <v>33</v>
      </c>
      <c r="J8" s="1" t="s">
        <v>34</v>
      </c>
      <c r="K8" s="1" t="s">
        <v>35</v>
      </c>
      <c r="L8" s="1" t="s">
        <v>19</v>
      </c>
      <c r="M8" s="1">
        <v>1047</v>
      </c>
      <c r="N8" s="1">
        <v>73</v>
      </c>
      <c r="O8" s="4" t="s">
        <v>52</v>
      </c>
    </row>
    <row r="9" spans="1:15" ht="28.35" customHeight="1" x14ac:dyDescent="0.3">
      <c r="A9" s="1" t="s">
        <v>53</v>
      </c>
      <c r="B9" s="1" t="s">
        <v>16</v>
      </c>
      <c r="C9" s="2">
        <v>45733</v>
      </c>
      <c r="D9" s="1" t="str">
        <f t="shared" si="0"/>
        <v>March</v>
      </c>
      <c r="E9" s="1">
        <f t="shared" si="1"/>
        <v>2025</v>
      </c>
      <c r="F9" s="3" t="s">
        <v>54</v>
      </c>
      <c r="G9" s="1" t="s">
        <v>18</v>
      </c>
      <c r="H9" s="1" t="s">
        <v>19</v>
      </c>
      <c r="I9" s="1" t="s">
        <v>48</v>
      </c>
      <c r="J9" s="1" t="s">
        <v>33</v>
      </c>
      <c r="K9" s="1" t="s">
        <v>55</v>
      </c>
      <c r="L9" s="1" t="s">
        <v>56</v>
      </c>
      <c r="M9" s="1">
        <v>2463</v>
      </c>
      <c r="N9" s="1">
        <v>59</v>
      </c>
      <c r="O9" s="4" t="s">
        <v>57</v>
      </c>
    </row>
    <row r="10" spans="1:15" ht="43.2" x14ac:dyDescent="0.3">
      <c r="A10" s="1" t="s">
        <v>58</v>
      </c>
      <c r="B10" s="1" t="s">
        <v>16</v>
      </c>
      <c r="C10" s="2">
        <v>45736</v>
      </c>
      <c r="D10" s="1" t="str">
        <f t="shared" si="0"/>
        <v>March</v>
      </c>
      <c r="E10" s="1">
        <f t="shared" si="1"/>
        <v>2025</v>
      </c>
      <c r="F10" s="3" t="s">
        <v>59</v>
      </c>
      <c r="G10" s="1" t="s">
        <v>18</v>
      </c>
      <c r="H10" s="1" t="s">
        <v>19</v>
      </c>
      <c r="I10" s="1" t="s">
        <v>60</v>
      </c>
      <c r="J10" s="1" t="s">
        <v>61</v>
      </c>
      <c r="K10" s="1" t="s">
        <v>62</v>
      </c>
      <c r="L10" s="1" t="s">
        <v>19</v>
      </c>
      <c r="M10" s="1">
        <v>537</v>
      </c>
      <c r="N10" s="1">
        <v>11</v>
      </c>
      <c r="O10" s="4" t="s">
        <v>63</v>
      </c>
    </row>
    <row r="11" spans="1:15" ht="57.6" x14ac:dyDescent="0.3">
      <c r="A11" s="1" t="s">
        <v>64</v>
      </c>
      <c r="B11" s="1" t="s">
        <v>16</v>
      </c>
      <c r="C11" s="2">
        <v>45748</v>
      </c>
      <c r="D11" s="1" t="str">
        <f t="shared" si="0"/>
        <v>April</v>
      </c>
      <c r="E11" s="1">
        <f t="shared" si="1"/>
        <v>2025</v>
      </c>
      <c r="F11" s="3" t="s">
        <v>65</v>
      </c>
      <c r="G11" s="1" t="s">
        <v>47</v>
      </c>
      <c r="H11" s="1" t="s">
        <v>19</v>
      </c>
      <c r="I11" s="1" t="s">
        <v>60</v>
      </c>
      <c r="J11" s="1" t="s">
        <v>28</v>
      </c>
      <c r="K11" s="1" t="s">
        <v>66</v>
      </c>
      <c r="L11" s="1" t="s">
        <v>19</v>
      </c>
      <c r="M11" s="1">
        <v>2233</v>
      </c>
      <c r="N11" s="1">
        <v>20</v>
      </c>
      <c r="O11" s="4" t="s">
        <v>67</v>
      </c>
    </row>
    <row r="12" spans="1:15" ht="43.2" x14ac:dyDescent="0.3">
      <c r="A12" s="1" t="s">
        <v>68</v>
      </c>
      <c r="B12" s="1" t="s">
        <v>16</v>
      </c>
      <c r="C12" s="2">
        <v>45751</v>
      </c>
      <c r="D12" s="1" t="str">
        <f t="shared" ref="D12:D13" si="2">IF(C12="","",TEXT(C12,"mmmm"))</f>
        <v>April</v>
      </c>
      <c r="E12" s="1">
        <f t="shared" ref="E12:E13" si="3">IF(C12="","",YEAR(C12))</f>
        <v>2025</v>
      </c>
      <c r="F12" s="3" t="s">
        <v>69</v>
      </c>
      <c r="G12" s="1" t="s">
        <v>18</v>
      </c>
      <c r="H12" s="1" t="s">
        <v>19</v>
      </c>
      <c r="I12" s="1" t="s">
        <v>70</v>
      </c>
      <c r="J12" s="1" t="s">
        <v>20</v>
      </c>
      <c r="K12" s="1" t="s">
        <v>22</v>
      </c>
      <c r="L12" s="1" t="s">
        <v>19</v>
      </c>
      <c r="M12" s="1">
        <v>1645</v>
      </c>
      <c r="N12" s="1">
        <v>14</v>
      </c>
      <c r="O12" s="4" t="s">
        <v>71</v>
      </c>
    </row>
    <row r="13" spans="1:15" ht="43.2" x14ac:dyDescent="0.3">
      <c r="A13" s="1" t="s">
        <v>72</v>
      </c>
      <c r="B13" s="1" t="s">
        <v>16</v>
      </c>
      <c r="C13" s="2">
        <v>45772</v>
      </c>
      <c r="D13" s="1" t="str">
        <f t="shared" si="2"/>
        <v>April</v>
      </c>
      <c r="E13" s="1">
        <f t="shared" si="3"/>
        <v>2025</v>
      </c>
      <c r="F13" s="3" t="s">
        <v>73</v>
      </c>
      <c r="G13" s="1" t="s">
        <v>18</v>
      </c>
      <c r="H13" s="1" t="s">
        <v>19</v>
      </c>
      <c r="I13" s="1" t="s">
        <v>60</v>
      </c>
      <c r="J13" s="1" t="s">
        <v>20</v>
      </c>
      <c r="K13" s="1" t="s">
        <v>22</v>
      </c>
      <c r="L13" s="1" t="s">
        <v>56</v>
      </c>
      <c r="M13" s="1">
        <v>3952</v>
      </c>
      <c r="N13" s="1">
        <v>56</v>
      </c>
      <c r="O13" s="4" t="s">
        <v>74</v>
      </c>
    </row>
    <row r="14" spans="1:15" ht="57.6" x14ac:dyDescent="0.3">
      <c r="A14" s="1" t="s">
        <v>75</v>
      </c>
      <c r="B14" s="1" t="s">
        <v>16</v>
      </c>
      <c r="C14" s="2">
        <v>45783</v>
      </c>
      <c r="D14" s="1" t="str">
        <f t="shared" si="0"/>
        <v>May</v>
      </c>
      <c r="E14" s="1">
        <f t="shared" si="1"/>
        <v>2025</v>
      </c>
      <c r="F14" s="3" t="s">
        <v>76</v>
      </c>
      <c r="G14" s="1" t="s">
        <v>18</v>
      </c>
      <c r="H14" s="1" t="s">
        <v>19</v>
      </c>
      <c r="I14" s="1" t="s">
        <v>34</v>
      </c>
      <c r="J14" s="1" t="s">
        <v>20</v>
      </c>
      <c r="K14" s="1" t="s">
        <v>22</v>
      </c>
      <c r="L14" s="1" t="s">
        <v>19</v>
      </c>
      <c r="M14" s="1">
        <v>3672</v>
      </c>
      <c r="N14" s="1">
        <v>59</v>
      </c>
      <c r="O14" s="4" t="s">
        <v>77</v>
      </c>
    </row>
    <row r="15" spans="1:15" ht="43.2" x14ac:dyDescent="0.3">
      <c r="A15" s="1" t="s">
        <v>78</v>
      </c>
      <c r="B15" s="1" t="s">
        <v>16</v>
      </c>
      <c r="C15" s="2">
        <v>45792</v>
      </c>
      <c r="D15" s="1" t="str">
        <f t="shared" si="0"/>
        <v>May</v>
      </c>
      <c r="E15" s="1">
        <f t="shared" si="1"/>
        <v>2025</v>
      </c>
      <c r="F15" s="3" t="s">
        <v>79</v>
      </c>
      <c r="G15" s="1" t="s">
        <v>18</v>
      </c>
      <c r="H15" s="1" t="s">
        <v>19</v>
      </c>
      <c r="I15" s="1" t="s">
        <v>20</v>
      </c>
      <c r="J15" s="1" t="s">
        <v>21</v>
      </c>
      <c r="K15" s="1" t="s">
        <v>43</v>
      </c>
      <c r="L15" s="1" t="s">
        <v>19</v>
      </c>
      <c r="M15" s="1">
        <v>971</v>
      </c>
      <c r="N15" s="1">
        <v>27</v>
      </c>
      <c r="O15" s="4" t="s">
        <v>80</v>
      </c>
    </row>
    <row r="16" spans="1:15" ht="57.6" x14ac:dyDescent="0.3">
      <c r="A16" s="1" t="s">
        <v>81</v>
      </c>
      <c r="B16" s="1" t="s">
        <v>16</v>
      </c>
      <c r="C16" s="2">
        <v>45804</v>
      </c>
      <c r="D16" s="1" t="str">
        <f t="shared" si="0"/>
        <v>May</v>
      </c>
      <c r="E16" s="1">
        <f t="shared" si="1"/>
        <v>2025</v>
      </c>
      <c r="F16" s="3" t="s">
        <v>82</v>
      </c>
      <c r="G16" s="1" t="s">
        <v>26</v>
      </c>
      <c r="H16" s="1" t="s">
        <v>19</v>
      </c>
      <c r="I16" s="1" t="s">
        <v>20</v>
      </c>
      <c r="J16" s="1" t="s">
        <v>28</v>
      </c>
      <c r="K16" s="1" t="s">
        <v>43</v>
      </c>
      <c r="L16" s="1" t="s">
        <v>19</v>
      </c>
      <c r="M16" s="1">
        <v>1006</v>
      </c>
      <c r="N16" s="1">
        <v>9</v>
      </c>
      <c r="O16" s="4" t="s">
        <v>83</v>
      </c>
    </row>
    <row r="17" spans="1:15" ht="57.6" x14ac:dyDescent="0.3">
      <c r="A17" s="1" t="s">
        <v>84</v>
      </c>
      <c r="B17" s="1" t="s">
        <v>16</v>
      </c>
      <c r="C17" s="2">
        <v>45809</v>
      </c>
      <c r="D17" s="1" t="str">
        <f t="shared" si="0"/>
        <v>June</v>
      </c>
      <c r="E17" s="1">
        <f t="shared" si="1"/>
        <v>2025</v>
      </c>
      <c r="F17" s="3" t="s">
        <v>85</v>
      </c>
      <c r="G17" s="1" t="s">
        <v>18</v>
      </c>
      <c r="H17" s="1" t="s">
        <v>19</v>
      </c>
      <c r="I17" s="1" t="s">
        <v>33</v>
      </c>
      <c r="J17" s="1" t="s">
        <v>21</v>
      </c>
      <c r="K17" s="1" t="s">
        <v>35</v>
      </c>
      <c r="L17" s="1" t="s">
        <v>19</v>
      </c>
      <c r="M17" s="1">
        <v>606</v>
      </c>
      <c r="N17" s="1">
        <v>8</v>
      </c>
      <c r="O17" s="4" t="s">
        <v>86</v>
      </c>
    </row>
    <row r="18" spans="1:15" ht="57.6" x14ac:dyDescent="0.3">
      <c r="A18" s="1" t="s">
        <v>87</v>
      </c>
      <c r="B18" s="1" t="s">
        <v>16</v>
      </c>
      <c r="C18" s="2">
        <v>45825</v>
      </c>
      <c r="D18" s="1" t="s">
        <v>88</v>
      </c>
      <c r="E18" s="1">
        <v>2025</v>
      </c>
      <c r="F18" s="3" t="s">
        <v>89</v>
      </c>
      <c r="G18" s="1" t="s">
        <v>26</v>
      </c>
      <c r="H18" s="1" t="s">
        <v>19</v>
      </c>
      <c r="I18" s="1" t="s">
        <v>28</v>
      </c>
      <c r="J18" s="1" t="s">
        <v>39</v>
      </c>
      <c r="K18" s="1" t="s">
        <v>66</v>
      </c>
      <c r="L18" s="1" t="s">
        <v>19</v>
      </c>
      <c r="M18" s="1">
        <v>625</v>
      </c>
      <c r="N18" s="1">
        <v>8</v>
      </c>
      <c r="O18" s="4" t="s">
        <v>90</v>
      </c>
    </row>
    <row r="19" spans="1:15" ht="57.6" x14ac:dyDescent="0.3">
      <c r="A19" s="1" t="s">
        <v>91</v>
      </c>
      <c r="B19" s="1" t="s">
        <v>16</v>
      </c>
      <c r="C19" s="2">
        <v>45832</v>
      </c>
      <c r="D19" s="1" t="str">
        <f t="shared" si="0"/>
        <v>June</v>
      </c>
      <c r="E19" s="1">
        <f>IF(C19="","",YEAR(C19))</f>
        <v>2025</v>
      </c>
      <c r="F19" s="3" t="s">
        <v>92</v>
      </c>
      <c r="G19" s="1" t="s">
        <v>18</v>
      </c>
      <c r="H19" s="1" t="s">
        <v>19</v>
      </c>
      <c r="I19" s="1" t="s">
        <v>48</v>
      </c>
      <c r="J19" s="1" t="s">
        <v>20</v>
      </c>
      <c r="K19" s="1" t="s">
        <v>93</v>
      </c>
      <c r="L19" s="1" t="s">
        <v>56</v>
      </c>
      <c r="M19" s="1">
        <v>366</v>
      </c>
      <c r="N19" s="1">
        <v>26</v>
      </c>
      <c r="O19" s="4" t="s">
        <v>94</v>
      </c>
    </row>
    <row r="20" spans="1:15" ht="43.2" x14ac:dyDescent="0.3">
      <c r="A20" s="1" t="s">
        <v>95</v>
      </c>
      <c r="B20" s="1" t="s">
        <v>16</v>
      </c>
      <c r="C20" s="2">
        <v>45842</v>
      </c>
      <c r="D20" s="1" t="str">
        <f t="shared" si="0"/>
        <v>July</v>
      </c>
      <c r="E20" s="1">
        <f t="shared" si="1"/>
        <v>2025</v>
      </c>
      <c r="F20" s="3" t="s">
        <v>96</v>
      </c>
      <c r="G20" s="1" t="s">
        <v>18</v>
      </c>
      <c r="H20" s="1" t="s">
        <v>19</v>
      </c>
      <c r="I20" s="1" t="s">
        <v>34</v>
      </c>
      <c r="J20" s="1" t="s">
        <v>97</v>
      </c>
      <c r="K20" s="1" t="s">
        <v>66</v>
      </c>
      <c r="L20" s="1" t="s">
        <v>19</v>
      </c>
      <c r="M20" s="1">
        <v>323</v>
      </c>
      <c r="N20" s="1">
        <v>7</v>
      </c>
      <c r="O20" s="4" t="s">
        <v>98</v>
      </c>
    </row>
    <row r="21" spans="1:15" ht="43.2" x14ac:dyDescent="0.3">
      <c r="A21" s="1" t="s">
        <v>99</v>
      </c>
      <c r="B21" s="1" t="s">
        <v>16</v>
      </c>
      <c r="C21" s="2">
        <v>45847</v>
      </c>
      <c r="D21" s="1" t="str">
        <f t="shared" si="0"/>
        <v>July</v>
      </c>
      <c r="E21" s="1">
        <f t="shared" si="1"/>
        <v>2025</v>
      </c>
      <c r="F21" s="3" t="s">
        <v>100</v>
      </c>
      <c r="G21" s="1" t="s">
        <v>26</v>
      </c>
      <c r="H21" s="1" t="s">
        <v>19</v>
      </c>
      <c r="I21" s="1" t="s">
        <v>20</v>
      </c>
      <c r="J21" s="1" t="s">
        <v>101</v>
      </c>
      <c r="K21" s="1" t="s">
        <v>66</v>
      </c>
      <c r="L21" s="1" t="s">
        <v>19</v>
      </c>
      <c r="M21" s="1">
        <v>512</v>
      </c>
      <c r="N21" s="1">
        <v>10</v>
      </c>
      <c r="O21" s="4" t="s">
        <v>102</v>
      </c>
    </row>
    <row r="22" spans="1:15" ht="43.2" x14ac:dyDescent="0.3">
      <c r="A22" s="1" t="s">
        <v>103</v>
      </c>
      <c r="B22" s="1" t="s">
        <v>16</v>
      </c>
      <c r="C22" s="2">
        <v>45856</v>
      </c>
      <c r="D22" s="1" t="str">
        <f t="shared" si="0"/>
        <v>July</v>
      </c>
      <c r="E22" s="1">
        <f t="shared" si="1"/>
        <v>2025</v>
      </c>
      <c r="F22" s="3" t="s">
        <v>104</v>
      </c>
      <c r="G22" s="1" t="s">
        <v>18</v>
      </c>
      <c r="H22" s="1" t="s">
        <v>19</v>
      </c>
      <c r="I22" s="1" t="s">
        <v>70</v>
      </c>
      <c r="J22" s="1" t="s">
        <v>27</v>
      </c>
      <c r="K22" s="1" t="s">
        <v>29</v>
      </c>
      <c r="L22" s="1" t="s">
        <v>19</v>
      </c>
      <c r="M22" s="1">
        <v>1132</v>
      </c>
      <c r="N22" s="1">
        <v>14</v>
      </c>
      <c r="O22" s="4" t="s">
        <v>105</v>
      </c>
    </row>
    <row r="23" spans="1:15" ht="57.6" x14ac:dyDescent="0.3">
      <c r="A23" s="1" t="s">
        <v>106</v>
      </c>
      <c r="B23" s="1" t="s">
        <v>16</v>
      </c>
      <c r="C23" s="2">
        <v>45877</v>
      </c>
      <c r="D23" s="1" t="str">
        <f t="shared" si="0"/>
        <v>August</v>
      </c>
      <c r="E23" s="1">
        <f t="shared" si="1"/>
        <v>2025</v>
      </c>
      <c r="F23" s="3" t="s">
        <v>107</v>
      </c>
      <c r="G23" s="1" t="s">
        <v>26</v>
      </c>
      <c r="H23" s="1" t="s">
        <v>19</v>
      </c>
      <c r="I23" s="1" t="s">
        <v>21</v>
      </c>
      <c r="J23" s="1" t="s">
        <v>70</v>
      </c>
      <c r="K23" s="1" t="s">
        <v>93</v>
      </c>
      <c r="L23" s="1" t="s">
        <v>19</v>
      </c>
      <c r="M23" s="1">
        <v>3763</v>
      </c>
      <c r="N23" s="1">
        <v>29</v>
      </c>
      <c r="O23" s="4" t="s">
        <v>108</v>
      </c>
    </row>
    <row r="24" spans="1:15" ht="57.6" x14ac:dyDescent="0.3">
      <c r="A24" s="1" t="s">
        <v>109</v>
      </c>
      <c r="B24" s="1" t="s">
        <v>16</v>
      </c>
      <c r="C24" s="2">
        <v>45891</v>
      </c>
      <c r="D24" s="1" t="str">
        <f t="shared" si="0"/>
        <v>August</v>
      </c>
      <c r="E24" s="1">
        <f t="shared" si="1"/>
        <v>2025</v>
      </c>
      <c r="F24" s="3" t="s">
        <v>110</v>
      </c>
      <c r="G24" s="1" t="s">
        <v>18</v>
      </c>
      <c r="H24" s="1" t="s">
        <v>19</v>
      </c>
      <c r="I24" s="1" t="s">
        <v>20</v>
      </c>
      <c r="J24" s="1" t="s">
        <v>21</v>
      </c>
      <c r="K24" s="1" t="s">
        <v>66</v>
      </c>
      <c r="L24" s="1" t="s">
        <v>19</v>
      </c>
      <c r="M24" s="1">
        <v>657</v>
      </c>
      <c r="N24" s="1">
        <v>8</v>
      </c>
      <c r="O24" s="4" t="s">
        <v>111</v>
      </c>
    </row>
    <row r="25" spans="1:15" ht="43.2" x14ac:dyDescent="0.3">
      <c r="A25" s="1" t="s">
        <v>112</v>
      </c>
      <c r="B25" s="1" t="s">
        <v>16</v>
      </c>
      <c r="C25" s="2">
        <v>45895</v>
      </c>
      <c r="D25" s="1" t="str">
        <f t="shared" si="0"/>
        <v>August</v>
      </c>
      <c r="E25" s="1">
        <f t="shared" si="1"/>
        <v>2025</v>
      </c>
      <c r="F25" s="3" t="s">
        <v>113</v>
      </c>
      <c r="G25" s="1" t="s">
        <v>18</v>
      </c>
      <c r="H25" s="1" t="s">
        <v>19</v>
      </c>
      <c r="I25" s="1" t="s">
        <v>28</v>
      </c>
      <c r="J25" s="1" t="s">
        <v>60</v>
      </c>
      <c r="K25" s="1" t="s">
        <v>66</v>
      </c>
      <c r="L25" s="1" t="s">
        <v>19</v>
      </c>
      <c r="M25" s="1">
        <v>2766</v>
      </c>
      <c r="N25" s="1">
        <v>23</v>
      </c>
      <c r="O25" s="4" t="s">
        <v>114</v>
      </c>
    </row>
    <row r="26" spans="1:15" ht="57.6" x14ac:dyDescent="0.3">
      <c r="A26" s="1" t="s">
        <v>115</v>
      </c>
      <c r="B26" s="1" t="s">
        <v>16</v>
      </c>
      <c r="C26" s="2">
        <v>45539</v>
      </c>
      <c r="D26" s="1" t="str">
        <f t="shared" ref="D26:D36" si="4">IF(C26="","",TEXT(C26,"mmmm"))</f>
        <v>September</v>
      </c>
      <c r="E26" s="1">
        <f t="shared" ref="E26:E36" si="5">IF(C26="","",YEAR(C26))</f>
        <v>2024</v>
      </c>
      <c r="F26" s="3" t="s">
        <v>116</v>
      </c>
      <c r="G26" s="1" t="s">
        <v>18</v>
      </c>
      <c r="H26" s="1" t="s">
        <v>19</v>
      </c>
      <c r="I26" s="1" t="s">
        <v>33</v>
      </c>
      <c r="J26" s="4" t="s">
        <v>21</v>
      </c>
      <c r="K26" s="1" t="s">
        <v>22</v>
      </c>
      <c r="L26" s="1" t="s">
        <v>56</v>
      </c>
      <c r="M26" s="1">
        <v>1134</v>
      </c>
      <c r="N26" s="1">
        <v>29</v>
      </c>
      <c r="O26" s="4" t="s">
        <v>117</v>
      </c>
    </row>
    <row r="27" spans="1:15" ht="43.2" x14ac:dyDescent="0.3">
      <c r="A27" s="1" t="s">
        <v>118</v>
      </c>
      <c r="B27" s="1" t="s">
        <v>16</v>
      </c>
      <c r="C27" s="2">
        <v>45558</v>
      </c>
      <c r="D27" s="1" t="str">
        <f t="shared" si="4"/>
        <v>September</v>
      </c>
      <c r="E27" s="1">
        <f t="shared" si="5"/>
        <v>2024</v>
      </c>
      <c r="F27" s="3" t="s">
        <v>119</v>
      </c>
      <c r="G27" s="1" t="s">
        <v>26</v>
      </c>
      <c r="H27" s="4" t="s">
        <v>19</v>
      </c>
      <c r="I27" s="4" t="s">
        <v>120</v>
      </c>
      <c r="J27" s="4" t="s">
        <v>70</v>
      </c>
      <c r="K27" s="4" t="s">
        <v>93</v>
      </c>
      <c r="L27" s="4" t="s">
        <v>19</v>
      </c>
      <c r="M27" s="1">
        <v>2430</v>
      </c>
      <c r="N27" s="1">
        <v>9</v>
      </c>
      <c r="O27" s="4" t="s">
        <v>121</v>
      </c>
    </row>
    <row r="28" spans="1:15" ht="43.2" x14ac:dyDescent="0.3">
      <c r="A28" s="1" t="s">
        <v>122</v>
      </c>
      <c r="B28" s="1" t="s">
        <v>16</v>
      </c>
      <c r="C28" s="2">
        <v>45561</v>
      </c>
      <c r="D28" s="1" t="str">
        <f t="shared" ref="D28" si="6">IF(C28="","",TEXT(C28,"mmmm"))</f>
        <v>September</v>
      </c>
      <c r="E28" s="1">
        <f t="shared" ref="E28" si="7">IF(C28="","",YEAR(C28))</f>
        <v>2024</v>
      </c>
      <c r="F28" s="3" t="s">
        <v>123</v>
      </c>
      <c r="G28" s="1" t="s">
        <v>18</v>
      </c>
      <c r="H28" s="4" t="s">
        <v>19</v>
      </c>
      <c r="I28" s="4" t="s">
        <v>20</v>
      </c>
      <c r="J28" s="4" t="s">
        <v>124</v>
      </c>
      <c r="K28" s="4" t="s">
        <v>66</v>
      </c>
      <c r="L28" s="4" t="s">
        <v>19</v>
      </c>
      <c r="M28" s="1">
        <v>2380</v>
      </c>
      <c r="N28" s="1">
        <v>33</v>
      </c>
      <c r="O28" s="4" t="s">
        <v>125</v>
      </c>
    </row>
    <row r="29" spans="1:15" ht="72" x14ac:dyDescent="0.3">
      <c r="A29" s="1" t="s">
        <v>126</v>
      </c>
      <c r="B29" s="1" t="s">
        <v>16</v>
      </c>
      <c r="C29" s="2">
        <v>45567</v>
      </c>
      <c r="D29" s="1" t="str">
        <f t="shared" ref="D29" si="8">IF(C29="","",TEXT(C29,"mmmm"))</f>
        <v>October</v>
      </c>
      <c r="E29" s="1">
        <f t="shared" ref="E29" si="9">IF(C29="","",YEAR(C29))</f>
        <v>2024</v>
      </c>
      <c r="F29" s="3" t="s">
        <v>127</v>
      </c>
      <c r="G29" s="1" t="s">
        <v>18</v>
      </c>
      <c r="H29" s="4" t="s">
        <v>19</v>
      </c>
      <c r="I29" s="4" t="s">
        <v>20</v>
      </c>
      <c r="J29" s="4" t="s">
        <v>124</v>
      </c>
      <c r="K29" s="4" t="s">
        <v>66</v>
      </c>
      <c r="L29" s="4" t="s">
        <v>19</v>
      </c>
      <c r="M29" s="1">
        <v>1095</v>
      </c>
      <c r="N29" s="1">
        <v>37</v>
      </c>
      <c r="O29" s="4" t="s">
        <v>128</v>
      </c>
    </row>
    <row r="30" spans="1:15" ht="72" x14ac:dyDescent="0.3">
      <c r="A30" s="1" t="s">
        <v>129</v>
      </c>
      <c r="B30" s="1" t="s">
        <v>16</v>
      </c>
      <c r="C30" s="6">
        <v>45581</v>
      </c>
      <c r="D30" s="1" t="str">
        <f t="shared" si="4"/>
        <v>October</v>
      </c>
      <c r="E30" s="1">
        <f t="shared" si="5"/>
        <v>2024</v>
      </c>
      <c r="F30" s="3" t="s">
        <v>130</v>
      </c>
      <c r="G30" s="4" t="s">
        <v>26</v>
      </c>
      <c r="H30" s="4" t="s">
        <v>19</v>
      </c>
      <c r="I30" s="4" t="s">
        <v>27</v>
      </c>
      <c r="J30" s="4" t="s">
        <v>28</v>
      </c>
      <c r="K30" s="4" t="s">
        <v>93</v>
      </c>
      <c r="L30" s="4" t="s">
        <v>19</v>
      </c>
      <c r="M30" s="4">
        <v>4695</v>
      </c>
      <c r="N30" s="4">
        <v>37</v>
      </c>
      <c r="O30" s="4" t="s">
        <v>131</v>
      </c>
    </row>
    <row r="31" spans="1:15" ht="43.2" x14ac:dyDescent="0.3">
      <c r="A31" s="1" t="s">
        <v>132</v>
      </c>
      <c r="B31" s="1" t="s">
        <v>16</v>
      </c>
      <c r="C31" s="6">
        <v>45596</v>
      </c>
      <c r="D31" s="1" t="str">
        <f t="shared" si="4"/>
        <v>October</v>
      </c>
      <c r="E31" s="1">
        <f t="shared" si="5"/>
        <v>2024</v>
      </c>
      <c r="F31" s="3" t="s">
        <v>133</v>
      </c>
      <c r="G31" s="4" t="s">
        <v>18</v>
      </c>
      <c r="H31" s="4" t="s">
        <v>19</v>
      </c>
      <c r="I31" s="4" t="s">
        <v>20</v>
      </c>
      <c r="J31" s="4" t="s">
        <v>124</v>
      </c>
      <c r="K31" s="4" t="s">
        <v>43</v>
      </c>
      <c r="L31" s="4" t="s">
        <v>19</v>
      </c>
      <c r="M31" s="4">
        <v>3277</v>
      </c>
      <c r="N31" s="4">
        <v>72</v>
      </c>
      <c r="O31" s="4" t="s">
        <v>134</v>
      </c>
    </row>
    <row r="32" spans="1:15" ht="43.2" x14ac:dyDescent="0.3">
      <c r="A32" s="1" t="s">
        <v>135</v>
      </c>
      <c r="B32" s="1" t="s">
        <v>16</v>
      </c>
      <c r="C32" s="6">
        <v>45601</v>
      </c>
      <c r="D32" s="1" t="str">
        <f t="shared" si="4"/>
        <v>November</v>
      </c>
      <c r="E32" s="1">
        <f t="shared" si="5"/>
        <v>2024</v>
      </c>
      <c r="F32" s="3" t="s">
        <v>136</v>
      </c>
      <c r="G32" s="4" t="s">
        <v>18</v>
      </c>
      <c r="H32" s="4" t="s">
        <v>19</v>
      </c>
      <c r="I32" s="4" t="s">
        <v>33</v>
      </c>
      <c r="J32" s="4" t="s">
        <v>48</v>
      </c>
      <c r="K32" s="4" t="s">
        <v>22</v>
      </c>
      <c r="L32" s="4" t="s">
        <v>56</v>
      </c>
      <c r="M32" s="4">
        <v>672</v>
      </c>
      <c r="N32" s="4">
        <v>16</v>
      </c>
      <c r="O32" s="4" t="s">
        <v>137</v>
      </c>
    </row>
    <row r="33" spans="1:15" ht="57.6" x14ac:dyDescent="0.3">
      <c r="A33" s="1" t="s">
        <v>138</v>
      </c>
      <c r="B33" s="1" t="s">
        <v>16</v>
      </c>
      <c r="C33" s="6">
        <v>45608</v>
      </c>
      <c r="D33" s="1" t="str">
        <f t="shared" si="4"/>
        <v>November</v>
      </c>
      <c r="E33" s="1">
        <f t="shared" si="5"/>
        <v>2024</v>
      </c>
      <c r="F33" s="3" t="s">
        <v>139</v>
      </c>
      <c r="G33" s="4" t="s">
        <v>26</v>
      </c>
      <c r="H33" s="4" t="s">
        <v>19</v>
      </c>
      <c r="I33" s="4" t="s">
        <v>120</v>
      </c>
      <c r="J33" s="4" t="s">
        <v>20</v>
      </c>
      <c r="K33" s="4" t="s">
        <v>29</v>
      </c>
      <c r="L33" s="4" t="s">
        <v>19</v>
      </c>
      <c r="M33" s="4">
        <v>2933</v>
      </c>
      <c r="N33" s="4">
        <v>61</v>
      </c>
      <c r="O33" s="4" t="s">
        <v>140</v>
      </c>
    </row>
    <row r="34" spans="1:15" ht="43.2" x14ac:dyDescent="0.3">
      <c r="A34" s="1" t="s">
        <v>141</v>
      </c>
      <c r="B34" s="1" t="s">
        <v>16</v>
      </c>
      <c r="C34" s="6">
        <v>45617</v>
      </c>
      <c r="D34" s="1" t="str">
        <f t="shared" si="4"/>
        <v>November</v>
      </c>
      <c r="E34" s="1">
        <f t="shared" si="5"/>
        <v>2024</v>
      </c>
      <c r="F34" s="3" t="s">
        <v>142</v>
      </c>
      <c r="G34" s="4" t="s">
        <v>26</v>
      </c>
      <c r="H34" s="4" t="s">
        <v>19</v>
      </c>
      <c r="I34" s="4" t="s">
        <v>27</v>
      </c>
      <c r="J34" s="4" t="s">
        <v>101</v>
      </c>
      <c r="K34" s="4" t="s">
        <v>66</v>
      </c>
      <c r="L34" s="4" t="s">
        <v>19</v>
      </c>
      <c r="M34" s="4">
        <v>1779</v>
      </c>
      <c r="N34" s="4">
        <v>18</v>
      </c>
      <c r="O34" s="4" t="s">
        <v>143</v>
      </c>
    </row>
    <row r="35" spans="1:15" ht="57.6" x14ac:dyDescent="0.3">
      <c r="A35" s="1" t="s">
        <v>144</v>
      </c>
      <c r="B35" s="1" t="s">
        <v>16</v>
      </c>
      <c r="C35" s="6">
        <v>45639</v>
      </c>
      <c r="D35" s="1" t="str">
        <f t="shared" si="4"/>
        <v>December</v>
      </c>
      <c r="E35" s="1">
        <f t="shared" si="5"/>
        <v>2024</v>
      </c>
      <c r="F35" s="3" t="s">
        <v>145</v>
      </c>
      <c r="G35" s="4" t="s">
        <v>18</v>
      </c>
      <c r="H35" s="4" t="s">
        <v>19</v>
      </c>
      <c r="I35" s="4" t="s">
        <v>27</v>
      </c>
      <c r="J35" s="4" t="s">
        <v>39</v>
      </c>
      <c r="K35" s="4" t="s">
        <v>55</v>
      </c>
      <c r="L35" s="4" t="s">
        <v>19</v>
      </c>
      <c r="M35" s="4">
        <v>878</v>
      </c>
      <c r="N35" s="4">
        <v>11</v>
      </c>
      <c r="O35" s="4" t="s">
        <v>146</v>
      </c>
    </row>
    <row r="36" spans="1:15" ht="23.4" customHeight="1" x14ac:dyDescent="0.3">
      <c r="A36" s="1" t="s">
        <v>147</v>
      </c>
      <c r="B36" s="1" t="s">
        <v>16</v>
      </c>
      <c r="C36" s="6">
        <v>45642</v>
      </c>
      <c r="D36" s="1" t="str">
        <f t="shared" si="4"/>
        <v>December</v>
      </c>
      <c r="E36" s="1">
        <f t="shared" si="5"/>
        <v>2024</v>
      </c>
      <c r="F36" s="3" t="s">
        <v>148</v>
      </c>
      <c r="G36" s="4" t="s">
        <v>18</v>
      </c>
      <c r="H36" s="4" t="s">
        <v>19</v>
      </c>
      <c r="I36" s="4" t="s">
        <v>70</v>
      </c>
      <c r="J36" s="4" t="s">
        <v>33</v>
      </c>
      <c r="K36" s="4" t="s">
        <v>93</v>
      </c>
      <c r="L36" s="4" t="s">
        <v>19</v>
      </c>
      <c r="M36" s="4">
        <v>798</v>
      </c>
      <c r="N36" s="4">
        <v>9</v>
      </c>
      <c r="O36" s="4" t="s">
        <v>149</v>
      </c>
    </row>
    <row r="37" spans="1:15" ht="43.2" x14ac:dyDescent="0.3">
      <c r="A37" s="1" t="s">
        <v>150</v>
      </c>
      <c r="B37" s="1" t="s">
        <v>16</v>
      </c>
      <c r="C37" s="6">
        <v>45645</v>
      </c>
      <c r="D37" s="1" t="str">
        <f t="shared" ref="D37" si="10">IF(C37="","",TEXT(C37,"mmmm"))</f>
        <v>December</v>
      </c>
      <c r="E37" s="1">
        <f t="shared" ref="E37" si="11">IF(C37="","",YEAR(C37))</f>
        <v>2024</v>
      </c>
      <c r="F37" s="3" t="s">
        <v>151</v>
      </c>
      <c r="G37" s="4" t="s">
        <v>26</v>
      </c>
      <c r="H37" s="4" t="s">
        <v>19</v>
      </c>
      <c r="I37" s="4" t="s">
        <v>61</v>
      </c>
      <c r="J37" s="4" t="s">
        <v>20</v>
      </c>
      <c r="K37" s="4" t="s">
        <v>93</v>
      </c>
      <c r="L37" s="4" t="s">
        <v>19</v>
      </c>
      <c r="M37" s="4">
        <v>1768</v>
      </c>
      <c r="N37" s="4">
        <v>5</v>
      </c>
      <c r="O37" s="4" t="s">
        <v>152</v>
      </c>
    </row>
    <row r="38" spans="1:15" s="7" customFormat="1" ht="43.2" x14ac:dyDescent="0.3">
      <c r="A38" s="7" t="s">
        <v>153</v>
      </c>
      <c r="B38" s="7" t="s">
        <v>154</v>
      </c>
      <c r="C38" s="11">
        <v>45673</v>
      </c>
      <c r="D38" s="7" t="str">
        <f t="shared" ref="D38:D61" si="12">IF(C38="","",TEXT(C38,"mmmm"))</f>
        <v>January</v>
      </c>
      <c r="E38" s="7">
        <f t="shared" ref="E38:E61" si="13">IF(C38="","",YEAR(C38))</f>
        <v>2025</v>
      </c>
      <c r="F38" s="9" t="s">
        <v>155</v>
      </c>
      <c r="G38" s="7" t="s">
        <v>47</v>
      </c>
      <c r="H38" s="7" t="s">
        <v>19</v>
      </c>
      <c r="I38" s="7" t="s">
        <v>27</v>
      </c>
      <c r="J38" s="7" t="s">
        <v>97</v>
      </c>
      <c r="K38" s="7" t="s">
        <v>22</v>
      </c>
      <c r="L38" s="7" t="s">
        <v>19</v>
      </c>
      <c r="M38" s="7">
        <v>971</v>
      </c>
      <c r="N38" s="7">
        <v>2</v>
      </c>
      <c r="O38" s="10" t="s">
        <v>156</v>
      </c>
    </row>
    <row r="39" spans="1:15" ht="43.2" x14ac:dyDescent="0.3">
      <c r="A39" s="1" t="s">
        <v>157</v>
      </c>
      <c r="B39" s="1" t="s">
        <v>154</v>
      </c>
      <c r="C39" s="2">
        <v>45687</v>
      </c>
      <c r="D39" s="1" t="str">
        <f t="shared" si="12"/>
        <v>January</v>
      </c>
      <c r="E39" s="1">
        <f t="shared" si="13"/>
        <v>2025</v>
      </c>
      <c r="F39" s="3" t="s">
        <v>158</v>
      </c>
      <c r="G39" s="1" t="s">
        <v>18</v>
      </c>
      <c r="H39" s="1" t="s">
        <v>19</v>
      </c>
      <c r="I39" s="1" t="s">
        <v>20</v>
      </c>
      <c r="J39" s="1" t="s">
        <v>101</v>
      </c>
      <c r="K39" s="1" t="s">
        <v>43</v>
      </c>
      <c r="L39" s="1" t="s">
        <v>19</v>
      </c>
      <c r="M39" s="1">
        <v>477</v>
      </c>
      <c r="N39" s="1">
        <v>11</v>
      </c>
      <c r="O39" s="4" t="s">
        <v>159</v>
      </c>
    </row>
    <row r="40" spans="1:15" ht="57.6" x14ac:dyDescent="0.3">
      <c r="A40" s="1" t="s">
        <v>160</v>
      </c>
      <c r="B40" s="1" t="s">
        <v>154</v>
      </c>
      <c r="C40" s="2">
        <v>45675</v>
      </c>
      <c r="D40" s="1" t="str">
        <f t="shared" ref="D40" si="14">IF(C40="","",TEXT(C40,"mmmm"))</f>
        <v>January</v>
      </c>
      <c r="E40" s="1">
        <f t="shared" ref="E40" si="15">IF(C40="","",YEAR(C40))</f>
        <v>2025</v>
      </c>
      <c r="F40" s="3" t="s">
        <v>161</v>
      </c>
      <c r="G40" s="4" t="s">
        <v>47</v>
      </c>
      <c r="H40" s="4" t="s">
        <v>19</v>
      </c>
      <c r="I40" s="4" t="s">
        <v>162</v>
      </c>
      <c r="J40" s="4" t="s">
        <v>34</v>
      </c>
      <c r="K40" s="4" t="s">
        <v>22</v>
      </c>
      <c r="L40" s="4" t="s">
        <v>19</v>
      </c>
      <c r="M40" s="1">
        <v>878</v>
      </c>
      <c r="N40" s="1">
        <v>3</v>
      </c>
      <c r="O40" s="12" t="s">
        <v>163</v>
      </c>
    </row>
    <row r="41" spans="1:15" ht="57.6" x14ac:dyDescent="0.3">
      <c r="A41" s="1" t="s">
        <v>164</v>
      </c>
      <c r="B41" s="1" t="s">
        <v>154</v>
      </c>
      <c r="C41" s="2">
        <v>45714</v>
      </c>
      <c r="D41" s="1" t="str">
        <f t="shared" si="12"/>
        <v>February</v>
      </c>
      <c r="E41" s="1">
        <f t="shared" si="13"/>
        <v>2025</v>
      </c>
      <c r="F41" s="3" t="s">
        <v>165</v>
      </c>
      <c r="G41" s="4" t="s">
        <v>18</v>
      </c>
      <c r="H41" s="4" t="s">
        <v>19</v>
      </c>
      <c r="I41" s="4" t="s">
        <v>70</v>
      </c>
      <c r="J41" s="4" t="s">
        <v>20</v>
      </c>
      <c r="K41" s="4" t="s">
        <v>93</v>
      </c>
      <c r="L41" s="4" t="s">
        <v>19</v>
      </c>
      <c r="M41" s="1">
        <v>443</v>
      </c>
      <c r="N41" s="1">
        <v>0</v>
      </c>
      <c r="O41" s="4" t="s">
        <v>166</v>
      </c>
    </row>
    <row r="42" spans="1:15" ht="72" x14ac:dyDescent="0.3">
      <c r="A42" s="1" t="s">
        <v>167</v>
      </c>
      <c r="B42" s="1" t="s">
        <v>154</v>
      </c>
      <c r="C42" s="2">
        <v>45716</v>
      </c>
      <c r="D42" s="1" t="str">
        <f t="shared" si="12"/>
        <v>February</v>
      </c>
      <c r="E42" s="1">
        <f t="shared" si="13"/>
        <v>2025</v>
      </c>
      <c r="F42" s="3" t="s">
        <v>168</v>
      </c>
      <c r="G42" s="1" t="s">
        <v>26</v>
      </c>
      <c r="H42" s="1" t="s">
        <v>19</v>
      </c>
      <c r="I42" s="1" t="s">
        <v>28</v>
      </c>
      <c r="J42" s="1" t="s">
        <v>60</v>
      </c>
      <c r="K42" s="1" t="s">
        <v>66</v>
      </c>
      <c r="L42" s="1" t="s">
        <v>19</v>
      </c>
      <c r="M42" s="1">
        <v>524</v>
      </c>
      <c r="N42" s="1">
        <v>0</v>
      </c>
      <c r="O42" s="4" t="s">
        <v>169</v>
      </c>
    </row>
    <row r="43" spans="1:15" ht="86.4" x14ac:dyDescent="0.3">
      <c r="A43" s="1" t="s">
        <v>170</v>
      </c>
      <c r="B43" s="1" t="s">
        <v>154</v>
      </c>
      <c r="C43" s="2">
        <v>45716</v>
      </c>
      <c r="D43" s="1" t="str">
        <f t="shared" ref="D43" si="16">IF(C43="","",TEXT(C43,"mmmm"))</f>
        <v>February</v>
      </c>
      <c r="E43" s="1">
        <f t="shared" ref="E43" si="17">IF(C43="","",YEAR(C43))</f>
        <v>2025</v>
      </c>
      <c r="F43" s="3" t="s">
        <v>171</v>
      </c>
      <c r="G43" s="1" t="s">
        <v>18</v>
      </c>
      <c r="H43" s="1" t="s">
        <v>19</v>
      </c>
      <c r="I43" s="1" t="s">
        <v>101</v>
      </c>
      <c r="J43" s="1" t="s">
        <v>20</v>
      </c>
      <c r="K43" s="1" t="s">
        <v>55</v>
      </c>
      <c r="L43" s="1" t="s">
        <v>56</v>
      </c>
      <c r="M43" s="1">
        <v>572</v>
      </c>
      <c r="N43" s="1">
        <v>8</v>
      </c>
      <c r="O43" s="4" t="s">
        <v>172</v>
      </c>
    </row>
    <row r="44" spans="1:15" ht="43.2" x14ac:dyDescent="0.3">
      <c r="A44" s="1" t="s">
        <v>173</v>
      </c>
      <c r="B44" s="1" t="s">
        <v>154</v>
      </c>
      <c r="C44" s="2">
        <v>45720</v>
      </c>
      <c r="D44" s="1" t="str">
        <f t="shared" si="12"/>
        <v>March</v>
      </c>
      <c r="E44" s="1">
        <f t="shared" si="13"/>
        <v>2025</v>
      </c>
      <c r="F44" s="3" t="s">
        <v>174</v>
      </c>
      <c r="G44" s="1" t="s">
        <v>18</v>
      </c>
      <c r="H44" s="1" t="s">
        <v>19</v>
      </c>
      <c r="I44" s="1" t="s">
        <v>20</v>
      </c>
      <c r="J44" s="1" t="s">
        <v>28</v>
      </c>
      <c r="K44" s="1" t="s">
        <v>66</v>
      </c>
      <c r="L44" s="1" t="s">
        <v>19</v>
      </c>
      <c r="M44" s="1">
        <v>2040</v>
      </c>
      <c r="N44" s="1">
        <v>9</v>
      </c>
      <c r="O44" s="4" t="s">
        <v>175</v>
      </c>
    </row>
    <row r="45" spans="1:15" ht="43.2" x14ac:dyDescent="0.3">
      <c r="A45" s="1" t="s">
        <v>176</v>
      </c>
      <c r="B45" s="1" t="s">
        <v>154</v>
      </c>
      <c r="C45" s="2">
        <v>45729</v>
      </c>
      <c r="D45" s="1" t="str">
        <f t="shared" si="12"/>
        <v>March</v>
      </c>
      <c r="E45" s="1">
        <f t="shared" si="13"/>
        <v>2025</v>
      </c>
      <c r="F45" s="3" t="s">
        <v>177</v>
      </c>
      <c r="G45" s="1" t="s">
        <v>26</v>
      </c>
      <c r="H45" s="1" t="s">
        <v>19</v>
      </c>
      <c r="I45" s="1" t="s">
        <v>27</v>
      </c>
      <c r="J45" s="1" t="s">
        <v>28</v>
      </c>
      <c r="K45" s="1" t="s">
        <v>93</v>
      </c>
      <c r="L45" s="1" t="s">
        <v>19</v>
      </c>
      <c r="M45" s="1">
        <v>1650</v>
      </c>
      <c r="N45" s="1">
        <v>14</v>
      </c>
      <c r="O45" s="4" t="s">
        <v>178</v>
      </c>
    </row>
    <row r="46" spans="1:15" ht="43.2" x14ac:dyDescent="0.3">
      <c r="A46" s="1" t="s">
        <v>179</v>
      </c>
      <c r="B46" s="1" t="s">
        <v>154</v>
      </c>
      <c r="C46" s="2">
        <v>45747</v>
      </c>
      <c r="D46" s="1" t="str">
        <f t="shared" si="12"/>
        <v>March</v>
      </c>
      <c r="E46" s="1">
        <f t="shared" si="13"/>
        <v>2025</v>
      </c>
      <c r="F46" s="3" t="s">
        <v>180</v>
      </c>
      <c r="G46" s="1" t="s">
        <v>18</v>
      </c>
      <c r="H46" s="1" t="s">
        <v>19</v>
      </c>
      <c r="I46" s="1" t="s">
        <v>20</v>
      </c>
      <c r="J46" s="1" t="s">
        <v>28</v>
      </c>
      <c r="K46" s="1" t="s">
        <v>66</v>
      </c>
      <c r="L46" s="1" t="s">
        <v>56</v>
      </c>
      <c r="M46" s="1">
        <v>348</v>
      </c>
      <c r="N46" s="1">
        <v>16</v>
      </c>
      <c r="O46" s="4" t="s">
        <v>181</v>
      </c>
    </row>
    <row r="47" spans="1:15" ht="57.6" x14ac:dyDescent="0.3">
      <c r="A47" s="1" t="s">
        <v>182</v>
      </c>
      <c r="B47" s="1" t="s">
        <v>154</v>
      </c>
      <c r="C47" s="2">
        <v>45749</v>
      </c>
      <c r="D47" s="1" t="str">
        <f t="shared" si="12"/>
        <v>April</v>
      </c>
      <c r="E47" s="1">
        <f t="shared" si="13"/>
        <v>2025</v>
      </c>
      <c r="F47" s="3" t="s">
        <v>183</v>
      </c>
      <c r="G47" s="1" t="s">
        <v>18</v>
      </c>
      <c r="H47" s="1" t="s">
        <v>19</v>
      </c>
      <c r="I47" s="1" t="s">
        <v>20</v>
      </c>
      <c r="J47" s="1" t="s">
        <v>28</v>
      </c>
      <c r="K47" s="1" t="s">
        <v>66</v>
      </c>
      <c r="L47" s="1" t="s">
        <v>56</v>
      </c>
      <c r="M47" s="1">
        <v>442</v>
      </c>
      <c r="N47" s="1">
        <v>12</v>
      </c>
      <c r="O47" s="4" t="s">
        <v>184</v>
      </c>
    </row>
    <row r="48" spans="1:15" ht="57.6" x14ac:dyDescent="0.3">
      <c r="A48" s="1" t="s">
        <v>185</v>
      </c>
      <c r="B48" s="1" t="s">
        <v>154</v>
      </c>
      <c r="C48" s="2">
        <v>45769</v>
      </c>
      <c r="D48" s="1" t="str">
        <f t="shared" si="12"/>
        <v>April</v>
      </c>
      <c r="E48" s="1">
        <f t="shared" si="13"/>
        <v>2025</v>
      </c>
      <c r="F48" s="3" t="s">
        <v>186</v>
      </c>
      <c r="G48" s="1" t="s">
        <v>47</v>
      </c>
      <c r="H48" s="1" t="s">
        <v>19</v>
      </c>
      <c r="I48" s="1" t="s">
        <v>120</v>
      </c>
      <c r="J48" s="1" t="s">
        <v>28</v>
      </c>
      <c r="K48" s="1" t="s">
        <v>35</v>
      </c>
      <c r="L48" s="1" t="s">
        <v>19</v>
      </c>
      <c r="M48" s="1">
        <v>735</v>
      </c>
      <c r="N48" s="1">
        <v>2</v>
      </c>
      <c r="O48" s="4" t="s">
        <v>187</v>
      </c>
    </row>
    <row r="49" spans="1:15" ht="72" x14ac:dyDescent="0.3">
      <c r="A49" s="1" t="s">
        <v>188</v>
      </c>
      <c r="B49" s="1" t="s">
        <v>154</v>
      </c>
      <c r="C49" s="2">
        <v>45777</v>
      </c>
      <c r="D49" s="1" t="str">
        <f t="shared" si="12"/>
        <v>April</v>
      </c>
      <c r="E49" s="1">
        <f t="shared" si="13"/>
        <v>2025</v>
      </c>
      <c r="F49" s="3" t="s">
        <v>189</v>
      </c>
      <c r="G49" s="1" t="s">
        <v>47</v>
      </c>
      <c r="H49" s="1" t="s">
        <v>19</v>
      </c>
      <c r="I49" s="1" t="s">
        <v>124</v>
      </c>
      <c r="J49" s="1" t="s">
        <v>20</v>
      </c>
      <c r="K49" s="1" t="s">
        <v>43</v>
      </c>
      <c r="L49" s="1" t="s">
        <v>19</v>
      </c>
      <c r="M49" s="1">
        <v>757</v>
      </c>
      <c r="N49" s="1">
        <v>1</v>
      </c>
      <c r="O49" s="4" t="s">
        <v>190</v>
      </c>
    </row>
    <row r="50" spans="1:15" ht="43.2" x14ac:dyDescent="0.3">
      <c r="A50" s="1" t="s">
        <v>191</v>
      </c>
      <c r="B50" s="1" t="s">
        <v>154</v>
      </c>
      <c r="C50" s="2">
        <v>45790</v>
      </c>
      <c r="D50" s="1" t="str">
        <f t="shared" si="12"/>
        <v>May</v>
      </c>
      <c r="E50" s="1">
        <f t="shared" si="13"/>
        <v>2025</v>
      </c>
      <c r="F50" s="3" t="s">
        <v>192</v>
      </c>
      <c r="G50" s="1" t="s">
        <v>18</v>
      </c>
      <c r="H50" s="1" t="s">
        <v>19</v>
      </c>
      <c r="I50" s="1" t="s">
        <v>60</v>
      </c>
      <c r="J50" s="1" t="s">
        <v>20</v>
      </c>
      <c r="K50" s="1" t="s">
        <v>66</v>
      </c>
      <c r="L50" s="1" t="s">
        <v>56</v>
      </c>
      <c r="M50" s="1">
        <v>975</v>
      </c>
      <c r="N50" s="1">
        <v>3</v>
      </c>
      <c r="O50" s="4" t="s">
        <v>193</v>
      </c>
    </row>
    <row r="51" spans="1:15" ht="57.6" x14ac:dyDescent="0.3">
      <c r="A51" s="1" t="s">
        <v>194</v>
      </c>
      <c r="B51" s="1" t="s">
        <v>154</v>
      </c>
      <c r="C51" s="2">
        <v>45805</v>
      </c>
      <c r="D51" s="1" t="str">
        <f t="shared" si="12"/>
        <v>May</v>
      </c>
      <c r="E51" s="1">
        <f t="shared" si="13"/>
        <v>2025</v>
      </c>
      <c r="F51" s="3" t="s">
        <v>195</v>
      </c>
      <c r="G51" s="1" t="s">
        <v>18</v>
      </c>
      <c r="H51" s="1" t="s">
        <v>19</v>
      </c>
      <c r="I51" s="1" t="s">
        <v>20</v>
      </c>
      <c r="J51" s="1" t="s">
        <v>34</v>
      </c>
      <c r="K51" s="1" t="s">
        <v>35</v>
      </c>
      <c r="L51" s="1" t="s">
        <v>56</v>
      </c>
      <c r="M51" s="1">
        <v>5393</v>
      </c>
      <c r="N51" s="1">
        <v>84</v>
      </c>
      <c r="O51" s="4" t="s">
        <v>196</v>
      </c>
    </row>
    <row r="52" spans="1:15" ht="72" x14ac:dyDescent="0.3">
      <c r="A52" s="1" t="s">
        <v>197</v>
      </c>
      <c r="B52" s="1" t="s">
        <v>154</v>
      </c>
      <c r="C52" s="2">
        <v>45778</v>
      </c>
      <c r="D52" s="1" t="str">
        <f t="shared" ref="D52" si="18">IF(C52="","",TEXT(C52,"mmmm"))</f>
        <v>May</v>
      </c>
      <c r="E52" s="1">
        <f t="shared" ref="E52" si="19">IF(C52="","",YEAR(C52))</f>
        <v>2025</v>
      </c>
      <c r="F52" s="3" t="s">
        <v>198</v>
      </c>
      <c r="G52" s="1" t="s">
        <v>47</v>
      </c>
      <c r="H52" s="1" t="s">
        <v>19</v>
      </c>
      <c r="I52" s="1" t="s">
        <v>101</v>
      </c>
      <c r="J52" s="1" t="s">
        <v>20</v>
      </c>
      <c r="K52" s="1" t="s">
        <v>55</v>
      </c>
      <c r="L52" s="1" t="s">
        <v>56</v>
      </c>
      <c r="M52" s="1">
        <v>238</v>
      </c>
      <c r="N52" s="1">
        <v>7</v>
      </c>
      <c r="O52" s="4" t="s">
        <v>199</v>
      </c>
    </row>
    <row r="53" spans="1:15" ht="43.2" x14ac:dyDescent="0.3">
      <c r="A53" s="1" t="s">
        <v>200</v>
      </c>
      <c r="B53" s="1" t="s">
        <v>154</v>
      </c>
      <c r="C53" s="2">
        <v>45826</v>
      </c>
      <c r="D53" s="1" t="str">
        <f t="shared" si="12"/>
        <v>June</v>
      </c>
      <c r="E53" s="1">
        <f t="shared" si="13"/>
        <v>2025</v>
      </c>
      <c r="F53" s="3" t="s">
        <v>201</v>
      </c>
      <c r="G53" s="1" t="s">
        <v>18</v>
      </c>
      <c r="H53" s="1" t="s">
        <v>19</v>
      </c>
      <c r="I53" s="1" t="s">
        <v>27</v>
      </c>
      <c r="J53" s="1" t="s">
        <v>39</v>
      </c>
      <c r="K53" s="1" t="s">
        <v>29</v>
      </c>
      <c r="L53" s="1" t="s">
        <v>19</v>
      </c>
      <c r="M53" s="1">
        <v>1615</v>
      </c>
      <c r="N53" s="1">
        <v>17</v>
      </c>
      <c r="O53" s="4" t="s">
        <v>202</v>
      </c>
    </row>
    <row r="54" spans="1:15" ht="43.2" x14ac:dyDescent="0.3">
      <c r="A54" s="1" t="s">
        <v>203</v>
      </c>
      <c r="B54" s="1" t="s">
        <v>154</v>
      </c>
      <c r="C54" s="2">
        <v>45832</v>
      </c>
      <c r="D54" s="1" t="str">
        <f t="shared" si="12"/>
        <v>June</v>
      </c>
      <c r="E54" s="1">
        <f t="shared" si="13"/>
        <v>2025</v>
      </c>
      <c r="F54" s="3" t="s">
        <v>204</v>
      </c>
      <c r="G54" s="1" t="s">
        <v>18</v>
      </c>
      <c r="H54" s="1" t="s">
        <v>19</v>
      </c>
      <c r="I54" s="1" t="s">
        <v>39</v>
      </c>
      <c r="J54" s="1" t="s">
        <v>101</v>
      </c>
      <c r="K54" s="1" t="s">
        <v>29</v>
      </c>
      <c r="L54" s="1" t="s">
        <v>19</v>
      </c>
      <c r="M54" s="1">
        <v>217</v>
      </c>
      <c r="N54" s="1">
        <v>1</v>
      </c>
      <c r="O54" s="4" t="s">
        <v>205</v>
      </c>
    </row>
    <row r="55" spans="1:15" ht="57.6" x14ac:dyDescent="0.3">
      <c r="A55" s="1" t="s">
        <v>206</v>
      </c>
      <c r="B55" s="1" t="s">
        <v>154</v>
      </c>
      <c r="C55" s="2">
        <v>45834</v>
      </c>
      <c r="D55" s="1" t="str">
        <f t="shared" si="12"/>
        <v>June</v>
      </c>
      <c r="E55" s="1">
        <f t="shared" si="13"/>
        <v>2025</v>
      </c>
      <c r="F55" s="3" t="s">
        <v>207</v>
      </c>
      <c r="G55" s="1" t="s">
        <v>18</v>
      </c>
      <c r="H55" s="1" t="s">
        <v>19</v>
      </c>
      <c r="I55" s="1" t="s">
        <v>33</v>
      </c>
      <c r="J55" s="1" t="s">
        <v>20</v>
      </c>
      <c r="K55" s="1" t="s">
        <v>55</v>
      </c>
      <c r="L55" s="1" t="s">
        <v>56</v>
      </c>
      <c r="M55" s="1">
        <v>828</v>
      </c>
      <c r="N55" s="1">
        <v>7</v>
      </c>
      <c r="O55" s="4" t="s">
        <v>208</v>
      </c>
    </row>
    <row r="56" spans="1:15" ht="57.6" x14ac:dyDescent="0.3">
      <c r="A56" s="1" t="s">
        <v>209</v>
      </c>
      <c r="B56" s="1" t="s">
        <v>154</v>
      </c>
      <c r="C56" s="2">
        <v>45855</v>
      </c>
      <c r="D56" s="1" t="str">
        <f t="shared" si="12"/>
        <v>July</v>
      </c>
      <c r="E56" s="1">
        <f t="shared" si="13"/>
        <v>2025</v>
      </c>
      <c r="F56" s="3" t="s">
        <v>210</v>
      </c>
      <c r="G56" s="1" t="s">
        <v>47</v>
      </c>
      <c r="H56" s="1" t="s">
        <v>19</v>
      </c>
      <c r="I56" s="1" t="s">
        <v>33</v>
      </c>
      <c r="J56" s="1" t="s">
        <v>20</v>
      </c>
      <c r="K56" s="1" t="s">
        <v>55</v>
      </c>
      <c r="L56" s="1" t="s">
        <v>19</v>
      </c>
      <c r="M56" s="1">
        <v>1620</v>
      </c>
      <c r="N56" s="1">
        <v>12</v>
      </c>
      <c r="O56" s="4" t="s">
        <v>211</v>
      </c>
    </row>
    <row r="57" spans="1:15" ht="43.2" x14ac:dyDescent="0.3">
      <c r="A57" s="1" t="s">
        <v>212</v>
      </c>
      <c r="B57" s="1" t="s">
        <v>154</v>
      </c>
      <c r="C57" s="2">
        <v>45862</v>
      </c>
      <c r="D57" s="1" t="str">
        <f t="shared" si="12"/>
        <v>July</v>
      </c>
      <c r="E57" s="1">
        <f t="shared" si="13"/>
        <v>2025</v>
      </c>
      <c r="F57" s="3" t="s">
        <v>213</v>
      </c>
      <c r="G57" s="1" t="s">
        <v>47</v>
      </c>
      <c r="H57" s="1" t="s">
        <v>19</v>
      </c>
      <c r="I57" s="1" t="s">
        <v>101</v>
      </c>
      <c r="J57" s="1" t="s">
        <v>33</v>
      </c>
      <c r="K57" s="1" t="s">
        <v>22</v>
      </c>
      <c r="L57" s="1" t="s">
        <v>19</v>
      </c>
      <c r="M57" s="1">
        <v>4323</v>
      </c>
      <c r="N57" s="1">
        <v>14</v>
      </c>
      <c r="O57" s="4" t="s">
        <v>214</v>
      </c>
    </row>
    <row r="58" spans="1:15" ht="72" x14ac:dyDescent="0.3">
      <c r="A58" s="1" t="s">
        <v>215</v>
      </c>
      <c r="B58" s="1" t="s">
        <v>154</v>
      </c>
      <c r="C58" s="2">
        <v>45861</v>
      </c>
      <c r="D58" s="1" t="str">
        <f t="shared" ref="D58" si="20">IF(C58="","",TEXT(C58,"mmmm"))</f>
        <v>July</v>
      </c>
      <c r="E58" s="1">
        <f t="shared" ref="E58" si="21">IF(C58="","",YEAR(C58))</f>
        <v>2025</v>
      </c>
      <c r="F58" s="3" t="s">
        <v>216</v>
      </c>
      <c r="G58" s="1" t="s">
        <v>18</v>
      </c>
      <c r="H58" s="1" t="s">
        <v>19</v>
      </c>
      <c r="I58" s="1" t="s">
        <v>20</v>
      </c>
      <c r="J58" s="1" t="s">
        <v>21</v>
      </c>
      <c r="K58" s="1" t="s">
        <v>66</v>
      </c>
      <c r="L58" s="1" t="s">
        <v>56</v>
      </c>
      <c r="M58" s="1">
        <v>5615</v>
      </c>
      <c r="N58" s="1">
        <v>14</v>
      </c>
      <c r="O58" s="4" t="s">
        <v>217</v>
      </c>
    </row>
    <row r="59" spans="1:15" ht="57.6" x14ac:dyDescent="0.3">
      <c r="A59" s="1" t="s">
        <v>218</v>
      </c>
      <c r="B59" s="1" t="s">
        <v>154</v>
      </c>
      <c r="C59" s="2">
        <v>45884</v>
      </c>
      <c r="D59" s="1" t="str">
        <f t="shared" si="12"/>
        <v>August</v>
      </c>
      <c r="E59" s="1">
        <f t="shared" si="13"/>
        <v>2025</v>
      </c>
      <c r="F59" s="3" t="s">
        <v>219</v>
      </c>
      <c r="G59" s="1" t="s">
        <v>47</v>
      </c>
      <c r="H59" s="1" t="s">
        <v>19</v>
      </c>
      <c r="I59" s="1" t="s">
        <v>20</v>
      </c>
      <c r="J59" s="1" t="s">
        <v>39</v>
      </c>
      <c r="K59" s="1" t="s">
        <v>35</v>
      </c>
      <c r="L59" s="1" t="s">
        <v>19</v>
      </c>
      <c r="M59" s="1">
        <v>1425</v>
      </c>
      <c r="N59" s="1">
        <v>6</v>
      </c>
      <c r="O59" s="4" t="s">
        <v>220</v>
      </c>
    </row>
    <row r="60" spans="1:15" ht="43.2" x14ac:dyDescent="0.3">
      <c r="A60" s="1" t="s">
        <v>221</v>
      </c>
      <c r="B60" s="1" t="s">
        <v>154</v>
      </c>
      <c r="C60" s="2">
        <v>45887</v>
      </c>
      <c r="D60" s="1" t="str">
        <f t="shared" si="12"/>
        <v>August</v>
      </c>
      <c r="E60" s="1">
        <f t="shared" si="13"/>
        <v>2025</v>
      </c>
      <c r="F60" s="3" t="s">
        <v>222</v>
      </c>
      <c r="G60" s="1" t="s">
        <v>47</v>
      </c>
      <c r="H60" s="1" t="s">
        <v>19</v>
      </c>
      <c r="I60" s="1" t="s">
        <v>21</v>
      </c>
      <c r="J60" s="1" t="s">
        <v>101</v>
      </c>
      <c r="K60" s="1" t="s">
        <v>35</v>
      </c>
      <c r="L60" s="1" t="s">
        <v>19</v>
      </c>
      <c r="M60" s="1">
        <v>510</v>
      </c>
      <c r="N60" s="1">
        <v>23</v>
      </c>
      <c r="O60" s="4" t="s">
        <v>223</v>
      </c>
    </row>
    <row r="61" spans="1:15" ht="43.2" x14ac:dyDescent="0.3">
      <c r="A61" s="1" t="s">
        <v>224</v>
      </c>
      <c r="B61" s="1" t="s">
        <v>154</v>
      </c>
      <c r="C61" s="2">
        <v>45891</v>
      </c>
      <c r="D61" s="1" t="str">
        <f t="shared" si="12"/>
        <v>August</v>
      </c>
      <c r="E61" s="1">
        <f t="shared" si="13"/>
        <v>2025</v>
      </c>
      <c r="F61" s="3" t="s">
        <v>225</v>
      </c>
      <c r="G61" s="1" t="s">
        <v>47</v>
      </c>
      <c r="H61" s="1" t="s">
        <v>19</v>
      </c>
      <c r="I61" s="1" t="s">
        <v>20</v>
      </c>
      <c r="J61" s="1" t="s">
        <v>124</v>
      </c>
      <c r="K61" s="1" t="s">
        <v>35</v>
      </c>
      <c r="L61" s="1" t="s">
        <v>19</v>
      </c>
      <c r="M61" s="1">
        <v>1635</v>
      </c>
      <c r="N61" s="1">
        <v>6</v>
      </c>
      <c r="O61" s="4" t="s">
        <v>226</v>
      </c>
    </row>
    <row r="62" spans="1:15" ht="57.6" x14ac:dyDescent="0.3">
      <c r="A62" s="1" t="s">
        <v>227</v>
      </c>
      <c r="B62" s="1" t="s">
        <v>154</v>
      </c>
      <c r="C62" s="2">
        <v>45544</v>
      </c>
      <c r="D62" s="1" t="str">
        <f t="shared" ref="D62:D65" si="22">IF(C62="","",TEXT(C62,"mmmm"))</f>
        <v>September</v>
      </c>
      <c r="E62" s="1">
        <f t="shared" ref="E62:E65" si="23">IF(C62="","",YEAR(C62))</f>
        <v>2024</v>
      </c>
      <c r="F62" s="3" t="s">
        <v>228</v>
      </c>
      <c r="G62" s="1" t="s">
        <v>18</v>
      </c>
      <c r="H62" s="1" t="s">
        <v>19</v>
      </c>
      <c r="I62" s="1" t="s">
        <v>20</v>
      </c>
      <c r="J62" s="1" t="s">
        <v>21</v>
      </c>
      <c r="K62" s="1" t="s">
        <v>62</v>
      </c>
      <c r="L62" s="1" t="s">
        <v>19</v>
      </c>
      <c r="M62" s="1">
        <v>519</v>
      </c>
      <c r="N62" s="1">
        <v>9</v>
      </c>
      <c r="O62" s="4" t="s">
        <v>229</v>
      </c>
    </row>
    <row r="63" spans="1:15" ht="86.4" x14ac:dyDescent="0.3">
      <c r="A63" s="1" t="s">
        <v>230</v>
      </c>
      <c r="B63" s="1" t="s">
        <v>154</v>
      </c>
      <c r="C63" s="2">
        <v>45538</v>
      </c>
      <c r="D63" s="1" t="str">
        <f t="shared" si="22"/>
        <v>September</v>
      </c>
      <c r="E63" s="1">
        <f t="shared" si="23"/>
        <v>2024</v>
      </c>
      <c r="F63" s="3" t="s">
        <v>231</v>
      </c>
      <c r="G63" s="1" t="s">
        <v>18</v>
      </c>
      <c r="H63" s="1" t="s">
        <v>19</v>
      </c>
      <c r="I63" s="1" t="s">
        <v>20</v>
      </c>
      <c r="J63" s="1" t="s">
        <v>21</v>
      </c>
      <c r="K63" s="1" t="s">
        <v>55</v>
      </c>
      <c r="L63" s="1" t="s">
        <v>56</v>
      </c>
      <c r="M63" s="1">
        <v>2486</v>
      </c>
      <c r="N63" s="1">
        <v>10</v>
      </c>
      <c r="O63" s="4" t="s">
        <v>232</v>
      </c>
    </row>
    <row r="64" spans="1:15" ht="43.2" x14ac:dyDescent="0.3">
      <c r="A64" s="1" t="s">
        <v>233</v>
      </c>
      <c r="B64" s="1" t="s">
        <v>154</v>
      </c>
      <c r="C64" s="2">
        <v>45558</v>
      </c>
      <c r="D64" s="1" t="str">
        <f t="shared" ref="D64" si="24">IF(C64="","",TEXT(C64,"mmmm"))</f>
        <v>September</v>
      </c>
      <c r="E64" s="1">
        <f t="shared" ref="E64" si="25">IF(C64="","",YEAR(C64))</f>
        <v>2024</v>
      </c>
      <c r="F64" s="3" t="s">
        <v>234</v>
      </c>
      <c r="G64" s="1" t="s">
        <v>18</v>
      </c>
      <c r="H64" s="1" t="s">
        <v>19</v>
      </c>
      <c r="I64" s="1" t="s">
        <v>20</v>
      </c>
      <c r="J64" s="1" t="s">
        <v>21</v>
      </c>
      <c r="K64" s="1" t="s">
        <v>62</v>
      </c>
      <c r="L64" s="1" t="s">
        <v>19</v>
      </c>
      <c r="M64" s="1">
        <v>1832</v>
      </c>
      <c r="N64" s="1">
        <v>15</v>
      </c>
      <c r="O64" s="4" t="s">
        <v>235</v>
      </c>
    </row>
    <row r="65" spans="1:15" ht="43.2" x14ac:dyDescent="0.3">
      <c r="A65" s="1" t="s">
        <v>236</v>
      </c>
      <c r="B65" s="1" t="s">
        <v>154</v>
      </c>
      <c r="C65" s="2">
        <v>45586</v>
      </c>
      <c r="D65" s="1" t="str">
        <f t="shared" si="22"/>
        <v>October</v>
      </c>
      <c r="E65" s="1">
        <f t="shared" si="23"/>
        <v>2024</v>
      </c>
      <c r="F65" s="3" t="s">
        <v>237</v>
      </c>
      <c r="G65" s="1" t="s">
        <v>47</v>
      </c>
      <c r="H65" s="1" t="s">
        <v>19</v>
      </c>
      <c r="I65" s="1" t="s">
        <v>20</v>
      </c>
      <c r="J65" s="1" t="s">
        <v>61</v>
      </c>
      <c r="K65" s="1" t="s">
        <v>35</v>
      </c>
      <c r="L65" s="1" t="s">
        <v>56</v>
      </c>
      <c r="M65" s="1">
        <v>898</v>
      </c>
      <c r="N65" s="1">
        <v>5</v>
      </c>
      <c r="O65" s="4" t="s">
        <v>238</v>
      </c>
    </row>
    <row r="66" spans="1:15" ht="72" x14ac:dyDescent="0.3">
      <c r="A66" s="1" t="s">
        <v>239</v>
      </c>
      <c r="B66" s="1" t="s">
        <v>154</v>
      </c>
      <c r="C66" s="2">
        <v>45588</v>
      </c>
      <c r="D66" s="1" t="str">
        <f t="shared" ref="D66" si="26">IF(C66="","",TEXT(C66,"mmmm"))</f>
        <v>October</v>
      </c>
      <c r="E66" s="1">
        <f t="shared" ref="E66" si="27">IF(C66="","",YEAR(C66))</f>
        <v>2024</v>
      </c>
      <c r="F66" s="3" t="s">
        <v>240</v>
      </c>
      <c r="G66" s="1" t="s">
        <v>18</v>
      </c>
      <c r="H66" s="1" t="s">
        <v>19</v>
      </c>
      <c r="I66" s="1" t="s">
        <v>60</v>
      </c>
      <c r="J66" s="1" t="s">
        <v>34</v>
      </c>
      <c r="K66" s="1" t="s">
        <v>62</v>
      </c>
      <c r="L66" s="1" t="s">
        <v>19</v>
      </c>
      <c r="M66" s="1">
        <v>330</v>
      </c>
      <c r="N66" s="1">
        <v>1</v>
      </c>
      <c r="O66" s="4" t="s">
        <v>241</v>
      </c>
    </row>
    <row r="67" spans="1:15" ht="32.549999999999997" customHeight="1" x14ac:dyDescent="0.3">
      <c r="A67" s="1" t="s">
        <v>242</v>
      </c>
      <c r="B67" s="1" t="s">
        <v>154</v>
      </c>
      <c r="C67" s="2">
        <v>45596</v>
      </c>
      <c r="D67" s="1" t="str">
        <f t="shared" ref="D67:D73" si="28">IF(C67="","",TEXT(C67,"mmmm"))</f>
        <v>October</v>
      </c>
      <c r="E67" s="1">
        <f t="shared" ref="E67:E73" si="29">IF(C67="","",YEAR(C67))</f>
        <v>2024</v>
      </c>
      <c r="F67" s="3" t="s">
        <v>243</v>
      </c>
      <c r="G67" s="1" t="s">
        <v>18</v>
      </c>
      <c r="H67" s="1" t="s">
        <v>19</v>
      </c>
      <c r="I67" s="1" t="s">
        <v>28</v>
      </c>
      <c r="J67" s="1" t="s">
        <v>124</v>
      </c>
      <c r="K67" s="1" t="s">
        <v>22</v>
      </c>
      <c r="L67" s="1" t="s">
        <v>19</v>
      </c>
      <c r="M67" s="1">
        <v>245</v>
      </c>
      <c r="N67" s="1">
        <v>2</v>
      </c>
      <c r="O67" s="4" t="s">
        <v>244</v>
      </c>
    </row>
    <row r="68" spans="1:15" ht="72" x14ac:dyDescent="0.3">
      <c r="A68" s="1" t="s">
        <v>245</v>
      </c>
      <c r="B68" s="1" t="s">
        <v>154</v>
      </c>
      <c r="C68" s="2">
        <v>45611</v>
      </c>
      <c r="D68" s="1" t="str">
        <f t="shared" si="28"/>
        <v>November</v>
      </c>
      <c r="E68" s="1">
        <f t="shared" si="29"/>
        <v>2024</v>
      </c>
      <c r="F68" s="3" t="s">
        <v>246</v>
      </c>
      <c r="G68" s="1" t="s">
        <v>18</v>
      </c>
      <c r="H68" s="1" t="s">
        <v>19</v>
      </c>
      <c r="I68" s="1" t="s">
        <v>60</v>
      </c>
      <c r="J68" s="1" t="s">
        <v>34</v>
      </c>
      <c r="K68" s="1" t="s">
        <v>62</v>
      </c>
      <c r="L68" s="1" t="s">
        <v>19</v>
      </c>
      <c r="M68" s="1">
        <v>191</v>
      </c>
      <c r="N68" s="1">
        <v>0</v>
      </c>
      <c r="O68" s="4" t="s">
        <v>247</v>
      </c>
    </row>
    <row r="69" spans="1:15" ht="43.2" x14ac:dyDescent="0.3">
      <c r="A69" s="1" t="s">
        <v>248</v>
      </c>
      <c r="B69" s="1" t="s">
        <v>154</v>
      </c>
      <c r="C69" s="2">
        <v>45615</v>
      </c>
      <c r="D69" s="1" t="str">
        <f t="shared" ref="D69" si="30">IF(C69="","",TEXT(C69,"mmmm"))</f>
        <v>November</v>
      </c>
      <c r="E69" s="1">
        <f t="shared" ref="E69" si="31">IF(C69="","",YEAR(C69))</f>
        <v>2024</v>
      </c>
      <c r="F69" s="3" t="s">
        <v>249</v>
      </c>
      <c r="G69" s="1" t="s">
        <v>18</v>
      </c>
      <c r="H69" s="1" t="s">
        <v>19</v>
      </c>
      <c r="I69" s="1" t="s">
        <v>60</v>
      </c>
      <c r="J69" s="1" t="s">
        <v>20</v>
      </c>
      <c r="K69" s="1" t="s">
        <v>43</v>
      </c>
      <c r="L69" s="1" t="s">
        <v>19</v>
      </c>
      <c r="M69" s="1">
        <v>833</v>
      </c>
      <c r="N69" s="1">
        <v>14</v>
      </c>
      <c r="O69" s="4" t="s">
        <v>250</v>
      </c>
    </row>
    <row r="70" spans="1:15" ht="57.6" x14ac:dyDescent="0.3">
      <c r="A70" s="1" t="s">
        <v>251</v>
      </c>
      <c r="B70" s="1" t="s">
        <v>154</v>
      </c>
      <c r="C70" s="2">
        <v>45618</v>
      </c>
      <c r="D70" s="1" t="str">
        <f t="shared" ref="D70" si="32">IF(C70="","",TEXT(C70,"mmmm"))</f>
        <v>November</v>
      </c>
      <c r="E70" s="1">
        <f t="shared" ref="E70" si="33">IF(C70="","",YEAR(C70))</f>
        <v>2024</v>
      </c>
      <c r="F70" s="3" t="s">
        <v>252</v>
      </c>
      <c r="G70" s="1" t="s">
        <v>47</v>
      </c>
      <c r="H70" s="1" t="s">
        <v>19</v>
      </c>
      <c r="I70" s="1" t="s">
        <v>20</v>
      </c>
      <c r="J70" s="1" t="s">
        <v>34</v>
      </c>
      <c r="K70" s="1" t="s">
        <v>55</v>
      </c>
      <c r="L70" s="1" t="s">
        <v>56</v>
      </c>
      <c r="M70" s="1">
        <v>2742</v>
      </c>
      <c r="N70" s="1">
        <v>70</v>
      </c>
      <c r="O70" s="4" t="s">
        <v>253</v>
      </c>
    </row>
    <row r="71" spans="1:15" ht="43.2" x14ac:dyDescent="0.3">
      <c r="A71" s="1" t="s">
        <v>254</v>
      </c>
      <c r="B71" s="1" t="s">
        <v>154</v>
      </c>
      <c r="C71" s="2">
        <v>45636</v>
      </c>
      <c r="D71" s="1" t="str">
        <f t="shared" si="28"/>
        <v>December</v>
      </c>
      <c r="E71" s="1">
        <f t="shared" si="29"/>
        <v>2024</v>
      </c>
      <c r="F71" s="3" t="s">
        <v>255</v>
      </c>
      <c r="G71" s="1" t="s">
        <v>18</v>
      </c>
      <c r="H71" s="1" t="s">
        <v>19</v>
      </c>
      <c r="I71" s="1" t="s">
        <v>20</v>
      </c>
      <c r="J71" s="1" t="s">
        <v>28</v>
      </c>
      <c r="K71" s="1" t="s">
        <v>55</v>
      </c>
      <c r="L71" s="1" t="s">
        <v>56</v>
      </c>
      <c r="M71" s="1">
        <v>407</v>
      </c>
      <c r="N71" s="1">
        <v>12</v>
      </c>
      <c r="O71" s="4" t="s">
        <v>256</v>
      </c>
    </row>
    <row r="72" spans="1:15" ht="57.6" x14ac:dyDescent="0.3">
      <c r="A72" s="1" t="s">
        <v>257</v>
      </c>
      <c r="B72" s="1" t="s">
        <v>154</v>
      </c>
      <c r="C72" s="2">
        <v>45644</v>
      </c>
      <c r="D72" s="1" t="str">
        <f t="shared" si="28"/>
        <v>December</v>
      </c>
      <c r="E72" s="1">
        <f t="shared" si="29"/>
        <v>2024</v>
      </c>
      <c r="F72" s="3" t="s">
        <v>258</v>
      </c>
      <c r="G72" s="1" t="s">
        <v>47</v>
      </c>
      <c r="H72" s="1" t="s">
        <v>19</v>
      </c>
      <c r="I72" s="1" t="s">
        <v>21</v>
      </c>
      <c r="J72" s="1" t="s">
        <v>20</v>
      </c>
      <c r="K72" s="1" t="s">
        <v>22</v>
      </c>
      <c r="L72" s="1" t="s">
        <v>19</v>
      </c>
      <c r="M72" s="1">
        <v>1533</v>
      </c>
      <c r="N72" s="1">
        <v>0</v>
      </c>
      <c r="O72" s="6" t="s">
        <v>259</v>
      </c>
    </row>
    <row r="73" spans="1:15" ht="72" x14ac:dyDescent="0.3">
      <c r="A73" s="1" t="s">
        <v>260</v>
      </c>
      <c r="B73" s="1" t="s">
        <v>154</v>
      </c>
      <c r="C73" s="2">
        <v>45649</v>
      </c>
      <c r="D73" s="1" t="str">
        <f t="shared" si="28"/>
        <v>December</v>
      </c>
      <c r="E73" s="1">
        <f t="shared" si="29"/>
        <v>2024</v>
      </c>
      <c r="F73" s="3" t="s">
        <v>261</v>
      </c>
      <c r="G73" s="1" t="s">
        <v>18</v>
      </c>
      <c r="H73" s="1" t="s">
        <v>19</v>
      </c>
      <c r="I73" s="1" t="s">
        <v>21</v>
      </c>
      <c r="J73" s="1" t="s">
        <v>20</v>
      </c>
      <c r="K73" s="1" t="s">
        <v>22</v>
      </c>
      <c r="L73" s="1" t="s">
        <v>56</v>
      </c>
      <c r="M73" s="1">
        <v>745</v>
      </c>
      <c r="N73" s="1">
        <v>0</v>
      </c>
      <c r="O73" s="4" t="s">
        <v>262</v>
      </c>
    </row>
    <row r="74" spans="1:15" s="7" customFormat="1" ht="43.2" x14ac:dyDescent="0.3">
      <c r="A74" s="7" t="s">
        <v>263</v>
      </c>
      <c r="B74" s="7" t="s">
        <v>264</v>
      </c>
      <c r="C74" s="11">
        <v>45660</v>
      </c>
      <c r="D74" s="7" t="str">
        <f t="shared" ref="D74:D96" si="34">IF(C74="","",TEXT(C74,"mmmm"))</f>
        <v>January</v>
      </c>
      <c r="E74" s="7">
        <f t="shared" ref="E74:E96" si="35">IF(C74="","",YEAR(C74))</f>
        <v>2025</v>
      </c>
      <c r="F74" s="9" t="s">
        <v>265</v>
      </c>
      <c r="G74" s="7" t="s">
        <v>18</v>
      </c>
      <c r="H74" s="7" t="s">
        <v>19</v>
      </c>
      <c r="I74" s="7" t="s">
        <v>20</v>
      </c>
      <c r="J74" s="7" t="s">
        <v>28</v>
      </c>
      <c r="K74" s="7" t="s">
        <v>22</v>
      </c>
      <c r="L74" s="7" t="s">
        <v>56</v>
      </c>
      <c r="M74" s="7">
        <v>781</v>
      </c>
      <c r="N74" s="7">
        <v>14</v>
      </c>
      <c r="O74" s="10" t="s">
        <v>266</v>
      </c>
    </row>
    <row r="75" spans="1:15" ht="43.2" x14ac:dyDescent="0.3">
      <c r="A75" s="1" t="s">
        <v>267</v>
      </c>
      <c r="B75" s="1" t="s">
        <v>264</v>
      </c>
      <c r="C75" s="2">
        <v>45667</v>
      </c>
      <c r="D75" s="1" t="str">
        <f t="shared" si="34"/>
        <v>January</v>
      </c>
      <c r="E75" s="1">
        <f t="shared" si="35"/>
        <v>2025</v>
      </c>
      <c r="F75" s="3" t="s">
        <v>268</v>
      </c>
      <c r="G75" s="1" t="s">
        <v>18</v>
      </c>
      <c r="H75" s="1" t="s">
        <v>19</v>
      </c>
      <c r="I75" s="1" t="s">
        <v>20</v>
      </c>
      <c r="J75" s="1" t="s">
        <v>60</v>
      </c>
      <c r="K75" s="1" t="s">
        <v>66</v>
      </c>
      <c r="L75" s="1" t="s">
        <v>19</v>
      </c>
      <c r="M75" s="1">
        <v>316</v>
      </c>
      <c r="N75" s="1">
        <v>8</v>
      </c>
      <c r="O75" s="4" t="s">
        <v>269</v>
      </c>
    </row>
    <row r="76" spans="1:15" ht="57.6" x14ac:dyDescent="0.3">
      <c r="A76" s="1" t="s">
        <v>270</v>
      </c>
      <c r="B76" s="1" t="s">
        <v>264</v>
      </c>
      <c r="C76" s="2">
        <v>45685</v>
      </c>
      <c r="D76" s="1" t="str">
        <f t="shared" si="34"/>
        <v>January</v>
      </c>
      <c r="E76" s="1">
        <f t="shared" si="35"/>
        <v>2025</v>
      </c>
      <c r="F76" s="3" t="s">
        <v>271</v>
      </c>
      <c r="G76" s="1" t="s">
        <v>18</v>
      </c>
      <c r="H76" s="1" t="s">
        <v>19</v>
      </c>
      <c r="I76" s="1" t="s">
        <v>60</v>
      </c>
      <c r="J76" s="1" t="s">
        <v>124</v>
      </c>
      <c r="K76" s="1" t="s">
        <v>66</v>
      </c>
      <c r="L76" s="1" t="s">
        <v>19</v>
      </c>
      <c r="M76" s="1">
        <v>220</v>
      </c>
      <c r="N76" s="1">
        <v>15</v>
      </c>
      <c r="O76" s="4" t="s">
        <v>272</v>
      </c>
    </row>
    <row r="77" spans="1:15" ht="43.2" x14ac:dyDescent="0.3">
      <c r="A77" s="1" t="s">
        <v>273</v>
      </c>
      <c r="B77" s="1" t="s">
        <v>264</v>
      </c>
      <c r="C77" s="2">
        <v>45701</v>
      </c>
      <c r="D77" s="1" t="str">
        <f t="shared" si="34"/>
        <v>February</v>
      </c>
      <c r="E77" s="1">
        <f t="shared" si="35"/>
        <v>2025</v>
      </c>
      <c r="F77" s="3" t="s">
        <v>274</v>
      </c>
      <c r="G77" s="1" t="s">
        <v>18</v>
      </c>
      <c r="H77" s="1" t="s">
        <v>19</v>
      </c>
      <c r="I77" s="1" t="s">
        <v>48</v>
      </c>
      <c r="J77" s="1" t="s">
        <v>61</v>
      </c>
      <c r="K77" s="1" t="s">
        <v>22</v>
      </c>
      <c r="L77" s="1" t="s">
        <v>56</v>
      </c>
      <c r="M77" s="1">
        <v>260</v>
      </c>
      <c r="N77" s="1">
        <v>10</v>
      </c>
      <c r="O77" s="4" t="s">
        <v>275</v>
      </c>
    </row>
    <row r="78" spans="1:15" ht="43.2" x14ac:dyDescent="0.3">
      <c r="A78" s="1" t="s">
        <v>276</v>
      </c>
      <c r="B78" s="1" t="s">
        <v>264</v>
      </c>
      <c r="C78" s="2">
        <v>45709</v>
      </c>
      <c r="D78" s="1" t="str">
        <f t="shared" si="34"/>
        <v>February</v>
      </c>
      <c r="E78" s="1">
        <f t="shared" si="35"/>
        <v>2025</v>
      </c>
      <c r="F78" s="3" t="s">
        <v>277</v>
      </c>
      <c r="G78" s="1" t="s">
        <v>18</v>
      </c>
      <c r="H78" s="1" t="s">
        <v>19</v>
      </c>
      <c r="I78" s="1" t="s">
        <v>20</v>
      </c>
      <c r="J78" s="1" t="s">
        <v>21</v>
      </c>
      <c r="K78" s="1" t="s">
        <v>35</v>
      </c>
      <c r="L78" s="1" t="s">
        <v>19</v>
      </c>
      <c r="M78" s="1">
        <v>469</v>
      </c>
      <c r="N78" s="1">
        <v>8</v>
      </c>
      <c r="O78" s="4" t="s">
        <v>278</v>
      </c>
    </row>
    <row r="79" spans="1:15" ht="43.2" x14ac:dyDescent="0.3">
      <c r="A79" s="1" t="s">
        <v>279</v>
      </c>
      <c r="B79" s="1" t="s">
        <v>264</v>
      </c>
      <c r="C79" s="2">
        <v>45715</v>
      </c>
      <c r="D79" s="1" t="str">
        <f t="shared" si="34"/>
        <v>February</v>
      </c>
      <c r="E79" s="1">
        <f t="shared" si="35"/>
        <v>2025</v>
      </c>
      <c r="F79" s="3" t="s">
        <v>280</v>
      </c>
      <c r="G79" s="1" t="s">
        <v>18</v>
      </c>
      <c r="H79" s="1" t="s">
        <v>19</v>
      </c>
      <c r="I79" s="1" t="s">
        <v>70</v>
      </c>
      <c r="J79" s="1" t="s">
        <v>21</v>
      </c>
      <c r="K79" s="1" t="s">
        <v>29</v>
      </c>
      <c r="L79" s="1" t="s">
        <v>56</v>
      </c>
      <c r="M79" s="1">
        <v>1532</v>
      </c>
      <c r="N79" s="1">
        <v>9</v>
      </c>
      <c r="O79" s="4" t="s">
        <v>281</v>
      </c>
    </row>
    <row r="80" spans="1:15" ht="57.6" x14ac:dyDescent="0.3">
      <c r="A80" s="1" t="s">
        <v>282</v>
      </c>
      <c r="B80" s="1" t="s">
        <v>264</v>
      </c>
      <c r="C80" s="2">
        <v>45723</v>
      </c>
      <c r="D80" s="1" t="str">
        <f t="shared" si="34"/>
        <v>March</v>
      </c>
      <c r="E80" s="1">
        <f t="shared" si="35"/>
        <v>2025</v>
      </c>
      <c r="F80" s="3" t="s">
        <v>283</v>
      </c>
      <c r="G80" s="1" t="s">
        <v>18</v>
      </c>
      <c r="H80" s="1" t="s">
        <v>19</v>
      </c>
      <c r="I80" s="1" t="s">
        <v>21</v>
      </c>
      <c r="J80" s="1" t="s">
        <v>20</v>
      </c>
      <c r="K80" s="1" t="s">
        <v>35</v>
      </c>
      <c r="L80" s="1" t="s">
        <v>19</v>
      </c>
      <c r="M80" s="1">
        <v>294</v>
      </c>
      <c r="N80" s="1">
        <v>2</v>
      </c>
      <c r="O80" s="4" t="s">
        <v>284</v>
      </c>
    </row>
    <row r="81" spans="1:15" ht="57.6" x14ac:dyDescent="0.3">
      <c r="A81" s="1" t="s">
        <v>285</v>
      </c>
      <c r="B81" s="1" t="s">
        <v>264</v>
      </c>
      <c r="C81" s="2">
        <v>45734</v>
      </c>
      <c r="D81" s="1" t="str">
        <f t="shared" si="34"/>
        <v>March</v>
      </c>
      <c r="E81" s="1">
        <f t="shared" si="35"/>
        <v>2025</v>
      </c>
      <c r="F81" s="3" t="s">
        <v>286</v>
      </c>
      <c r="G81" s="1" t="s">
        <v>18</v>
      </c>
      <c r="H81" s="1" t="s">
        <v>19</v>
      </c>
      <c r="I81" s="1" t="s">
        <v>20</v>
      </c>
      <c r="J81" s="1" t="s">
        <v>101</v>
      </c>
      <c r="K81" s="1" t="s">
        <v>43</v>
      </c>
      <c r="L81" s="1" t="s">
        <v>56</v>
      </c>
      <c r="M81" s="1">
        <v>257</v>
      </c>
      <c r="N81" s="1">
        <v>7</v>
      </c>
      <c r="O81" s="4" t="s">
        <v>287</v>
      </c>
    </row>
    <row r="82" spans="1:15" ht="43.2" x14ac:dyDescent="0.3">
      <c r="A82" s="1" t="s">
        <v>288</v>
      </c>
      <c r="B82" s="1" t="s">
        <v>264</v>
      </c>
      <c r="C82" s="2">
        <v>45743</v>
      </c>
      <c r="D82" s="1" t="str">
        <f t="shared" si="34"/>
        <v>March</v>
      </c>
      <c r="E82" s="1">
        <f t="shared" si="35"/>
        <v>2025</v>
      </c>
      <c r="F82" s="3" t="s">
        <v>289</v>
      </c>
      <c r="G82" s="1" t="s">
        <v>47</v>
      </c>
      <c r="H82" s="1" t="s">
        <v>19</v>
      </c>
      <c r="I82" s="1" t="s">
        <v>101</v>
      </c>
      <c r="J82" s="1" t="s">
        <v>20</v>
      </c>
      <c r="K82" s="1" t="s">
        <v>66</v>
      </c>
      <c r="L82" s="1" t="s">
        <v>56</v>
      </c>
      <c r="M82" s="1">
        <v>775</v>
      </c>
      <c r="N82" s="1">
        <v>3</v>
      </c>
      <c r="O82" s="4" t="s">
        <v>290</v>
      </c>
    </row>
    <row r="83" spans="1:15" ht="43.2" x14ac:dyDescent="0.3">
      <c r="A83" s="1" t="s">
        <v>291</v>
      </c>
      <c r="B83" s="1" t="s">
        <v>264</v>
      </c>
      <c r="C83" s="2">
        <v>45752</v>
      </c>
      <c r="D83" s="1" t="str">
        <f t="shared" si="34"/>
        <v>April</v>
      </c>
      <c r="E83" s="1">
        <f t="shared" si="35"/>
        <v>2025</v>
      </c>
      <c r="F83" s="3" t="s">
        <v>292</v>
      </c>
      <c r="G83" s="1" t="s">
        <v>47</v>
      </c>
      <c r="H83" s="1" t="s">
        <v>19</v>
      </c>
      <c r="I83" s="1" t="s">
        <v>48</v>
      </c>
      <c r="J83" s="1" t="s">
        <v>20</v>
      </c>
      <c r="K83" s="1" t="s">
        <v>22</v>
      </c>
      <c r="L83" s="1" t="s">
        <v>56</v>
      </c>
      <c r="M83" s="1">
        <v>752</v>
      </c>
      <c r="N83" s="1">
        <v>8</v>
      </c>
      <c r="O83" s="4" t="s">
        <v>293</v>
      </c>
    </row>
    <row r="84" spans="1:15" ht="43.2" x14ac:dyDescent="0.3">
      <c r="A84" s="1" t="s">
        <v>294</v>
      </c>
      <c r="B84" s="1" t="s">
        <v>264</v>
      </c>
      <c r="C84" s="2">
        <v>45762</v>
      </c>
      <c r="D84" s="1" t="str">
        <f t="shared" si="34"/>
        <v>April</v>
      </c>
      <c r="E84" s="1">
        <f t="shared" si="35"/>
        <v>2025</v>
      </c>
      <c r="F84" s="3" t="s">
        <v>295</v>
      </c>
      <c r="G84" s="1" t="s">
        <v>47</v>
      </c>
      <c r="H84" s="1" t="s">
        <v>19</v>
      </c>
      <c r="I84" s="1" t="s">
        <v>20</v>
      </c>
      <c r="J84" s="1" t="s">
        <v>162</v>
      </c>
      <c r="K84" s="1" t="s">
        <v>66</v>
      </c>
      <c r="L84" s="1" t="s">
        <v>56</v>
      </c>
      <c r="M84" s="1">
        <v>1280</v>
      </c>
      <c r="N84" s="1">
        <v>6</v>
      </c>
      <c r="O84" s="4" t="s">
        <v>296</v>
      </c>
    </row>
    <row r="85" spans="1:15" ht="57.6" x14ac:dyDescent="0.3">
      <c r="A85" s="1" t="s">
        <v>297</v>
      </c>
      <c r="B85" s="1" t="s">
        <v>264</v>
      </c>
      <c r="C85" s="2">
        <v>45776</v>
      </c>
      <c r="D85" s="1" t="str">
        <f t="shared" si="34"/>
        <v>April</v>
      </c>
      <c r="E85" s="1">
        <f t="shared" si="35"/>
        <v>2025</v>
      </c>
      <c r="F85" s="3" t="s">
        <v>298</v>
      </c>
      <c r="G85" s="1" t="s">
        <v>18</v>
      </c>
      <c r="H85" s="1" t="s">
        <v>19</v>
      </c>
      <c r="I85" s="1" t="s">
        <v>70</v>
      </c>
      <c r="J85" s="1" t="s">
        <v>60</v>
      </c>
      <c r="K85" s="1" t="s">
        <v>66</v>
      </c>
      <c r="L85" s="1" t="s">
        <v>19</v>
      </c>
      <c r="M85" s="1">
        <v>551</v>
      </c>
      <c r="N85" s="1">
        <v>23</v>
      </c>
      <c r="O85" s="4" t="s">
        <v>299</v>
      </c>
    </row>
    <row r="86" spans="1:15" ht="43.2" x14ac:dyDescent="0.3">
      <c r="A86" s="1" t="s">
        <v>300</v>
      </c>
      <c r="B86" s="1" t="s">
        <v>264</v>
      </c>
      <c r="C86" s="2">
        <v>45788</v>
      </c>
      <c r="D86" s="1" t="str">
        <f t="shared" si="34"/>
        <v>May</v>
      </c>
      <c r="E86" s="1">
        <f t="shared" si="35"/>
        <v>2025</v>
      </c>
      <c r="F86" s="3" t="s">
        <v>301</v>
      </c>
      <c r="G86" s="1" t="s">
        <v>18</v>
      </c>
      <c r="H86" s="1" t="s">
        <v>19</v>
      </c>
      <c r="I86" s="1" t="s">
        <v>20</v>
      </c>
      <c r="J86" s="1" t="s">
        <v>48</v>
      </c>
      <c r="K86" s="1" t="s">
        <v>22</v>
      </c>
      <c r="L86" s="1" t="s">
        <v>19</v>
      </c>
      <c r="M86" s="1">
        <v>348</v>
      </c>
      <c r="N86" s="1">
        <v>14</v>
      </c>
      <c r="O86" s="4" t="s">
        <v>302</v>
      </c>
    </row>
    <row r="87" spans="1:15" ht="43.2" x14ac:dyDescent="0.3">
      <c r="A87" s="1" t="s">
        <v>303</v>
      </c>
      <c r="B87" s="1" t="s">
        <v>264</v>
      </c>
      <c r="C87" s="2">
        <v>45797</v>
      </c>
      <c r="D87" s="1" t="str">
        <f>IF(C87="","",TEXT(C87,"mmmm"))</f>
        <v>May</v>
      </c>
      <c r="E87" s="1">
        <f t="shared" si="35"/>
        <v>2025</v>
      </c>
      <c r="F87" s="3" t="s">
        <v>304</v>
      </c>
      <c r="G87" s="1" t="s">
        <v>18</v>
      </c>
      <c r="H87" s="1" t="s">
        <v>19</v>
      </c>
      <c r="I87" s="1" t="s">
        <v>20</v>
      </c>
      <c r="J87" s="1" t="s">
        <v>162</v>
      </c>
      <c r="K87" s="1" t="s">
        <v>35</v>
      </c>
      <c r="L87" s="1" t="s">
        <v>19</v>
      </c>
      <c r="M87" s="1">
        <v>294</v>
      </c>
      <c r="N87" s="1">
        <v>6</v>
      </c>
      <c r="O87" s="4" t="s">
        <v>305</v>
      </c>
    </row>
    <row r="88" spans="1:15" ht="43.2" x14ac:dyDescent="0.3">
      <c r="A88" s="1" t="s">
        <v>306</v>
      </c>
      <c r="B88" s="1" t="s">
        <v>264</v>
      </c>
      <c r="C88" s="2">
        <v>45792</v>
      </c>
      <c r="D88" s="1" t="str">
        <f>IF(C88="","",TEXT(C88,"mmmm"))</f>
        <v>May</v>
      </c>
      <c r="E88" s="1">
        <f t="shared" ref="E88" si="36">IF(C88="","",YEAR(C88))</f>
        <v>2025</v>
      </c>
      <c r="F88" s="3" t="s">
        <v>307</v>
      </c>
      <c r="G88" s="1" t="s">
        <v>18</v>
      </c>
      <c r="H88" s="4" t="s">
        <v>19</v>
      </c>
      <c r="I88" s="4" t="s">
        <v>33</v>
      </c>
      <c r="J88" s="4" t="s">
        <v>27</v>
      </c>
      <c r="K88" s="4" t="s">
        <v>55</v>
      </c>
      <c r="L88" s="4" t="s">
        <v>56</v>
      </c>
      <c r="M88" s="1" t="s">
        <v>308</v>
      </c>
      <c r="N88" s="1" t="s">
        <v>308</v>
      </c>
      <c r="O88" s="4" t="s">
        <v>309</v>
      </c>
    </row>
    <row r="89" spans="1:15" ht="43.2" x14ac:dyDescent="0.3">
      <c r="A89" s="1" t="s">
        <v>310</v>
      </c>
      <c r="B89" s="1" t="s">
        <v>264</v>
      </c>
      <c r="C89" s="2">
        <v>45825</v>
      </c>
      <c r="D89" s="1" t="str">
        <f t="shared" si="34"/>
        <v>June</v>
      </c>
      <c r="E89" s="1">
        <f t="shared" si="35"/>
        <v>2025</v>
      </c>
      <c r="F89" s="3" t="s">
        <v>311</v>
      </c>
      <c r="G89" s="1" t="s">
        <v>26</v>
      </c>
      <c r="H89" s="1" t="s">
        <v>19</v>
      </c>
      <c r="I89" s="1" t="s">
        <v>20</v>
      </c>
      <c r="J89" s="1" t="s">
        <v>34</v>
      </c>
      <c r="K89" s="1" t="s">
        <v>55</v>
      </c>
      <c r="L89" s="1" t="s">
        <v>56</v>
      </c>
      <c r="M89" s="1">
        <v>1217</v>
      </c>
      <c r="N89" s="1">
        <v>10</v>
      </c>
      <c r="O89" s="4" t="s">
        <v>312</v>
      </c>
    </row>
    <row r="90" spans="1:15" ht="43.2" x14ac:dyDescent="0.3">
      <c r="A90" s="1" t="s">
        <v>313</v>
      </c>
      <c r="B90" s="1" t="s">
        <v>264</v>
      </c>
      <c r="C90" s="2">
        <v>45827</v>
      </c>
      <c r="D90" s="1" t="str">
        <f t="shared" si="34"/>
        <v>June</v>
      </c>
      <c r="E90" s="1">
        <f t="shared" si="35"/>
        <v>2025</v>
      </c>
      <c r="F90" s="3" t="s">
        <v>314</v>
      </c>
      <c r="G90" s="1" t="s">
        <v>18</v>
      </c>
      <c r="H90" s="1" t="s">
        <v>19</v>
      </c>
      <c r="I90" s="1" t="s">
        <v>20</v>
      </c>
      <c r="J90" s="1" t="s">
        <v>124</v>
      </c>
      <c r="K90" s="1" t="s">
        <v>55</v>
      </c>
      <c r="L90" s="1" t="s">
        <v>56</v>
      </c>
      <c r="M90" s="1">
        <v>404</v>
      </c>
      <c r="N90" s="1">
        <v>26</v>
      </c>
      <c r="O90" s="4" t="s">
        <v>315</v>
      </c>
    </row>
    <row r="91" spans="1:15" ht="43.2" x14ac:dyDescent="0.3">
      <c r="A91" s="1" t="s">
        <v>316</v>
      </c>
      <c r="B91" s="1" t="s">
        <v>264</v>
      </c>
      <c r="C91" s="2">
        <v>45833</v>
      </c>
      <c r="D91" s="1" t="str">
        <f t="shared" si="34"/>
        <v>June</v>
      </c>
      <c r="E91" s="1">
        <f t="shared" si="35"/>
        <v>2025</v>
      </c>
      <c r="F91" s="3" t="s">
        <v>317</v>
      </c>
      <c r="G91" s="1" t="s">
        <v>18</v>
      </c>
      <c r="H91" s="1" t="s">
        <v>19</v>
      </c>
      <c r="I91" s="1" t="s">
        <v>20</v>
      </c>
      <c r="J91" s="1" t="s">
        <v>27</v>
      </c>
      <c r="K91" s="1" t="s">
        <v>22</v>
      </c>
      <c r="L91" s="1" t="s">
        <v>56</v>
      </c>
      <c r="M91" s="1">
        <v>1150</v>
      </c>
      <c r="N91" s="1">
        <v>13</v>
      </c>
      <c r="O91" s="4" t="s">
        <v>318</v>
      </c>
    </row>
    <row r="92" spans="1:15" ht="43.2" x14ac:dyDescent="0.3">
      <c r="A92" s="1" t="s">
        <v>319</v>
      </c>
      <c r="B92" s="1" t="s">
        <v>264</v>
      </c>
      <c r="C92" s="2">
        <v>45862</v>
      </c>
      <c r="D92" s="1" t="str">
        <f t="shared" si="34"/>
        <v>July</v>
      </c>
      <c r="E92" s="1">
        <f t="shared" si="35"/>
        <v>2025</v>
      </c>
      <c r="F92" s="3" t="s">
        <v>320</v>
      </c>
      <c r="G92" s="1" t="s">
        <v>47</v>
      </c>
      <c r="H92" s="1" t="s">
        <v>19</v>
      </c>
      <c r="I92" s="1" t="s">
        <v>70</v>
      </c>
      <c r="J92" s="1" t="s">
        <v>21</v>
      </c>
      <c r="K92" s="1" t="s">
        <v>22</v>
      </c>
      <c r="L92" s="1" t="s">
        <v>56</v>
      </c>
      <c r="M92" s="1">
        <v>1110</v>
      </c>
      <c r="N92" s="1">
        <v>5</v>
      </c>
      <c r="O92" s="4" t="s">
        <v>321</v>
      </c>
    </row>
    <row r="93" spans="1:15" ht="57.6" x14ac:dyDescent="0.3">
      <c r="A93" s="1" t="s">
        <v>322</v>
      </c>
      <c r="B93" s="1" t="s">
        <v>264</v>
      </c>
      <c r="C93" s="2">
        <v>45867</v>
      </c>
      <c r="D93" s="1" t="str">
        <f t="shared" si="34"/>
        <v>July</v>
      </c>
      <c r="E93" s="1">
        <f t="shared" si="35"/>
        <v>2025</v>
      </c>
      <c r="F93" s="3" t="s">
        <v>323</v>
      </c>
      <c r="G93" s="1" t="s">
        <v>18</v>
      </c>
      <c r="H93" s="1" t="s">
        <v>19</v>
      </c>
      <c r="I93" s="1" t="s">
        <v>70</v>
      </c>
      <c r="J93" s="1" t="s">
        <v>28</v>
      </c>
      <c r="K93" s="1" t="s">
        <v>66</v>
      </c>
      <c r="L93" s="1" t="s">
        <v>56</v>
      </c>
      <c r="M93" s="1">
        <v>1370</v>
      </c>
      <c r="N93" s="1">
        <v>34</v>
      </c>
      <c r="O93" s="4" t="s">
        <v>324</v>
      </c>
    </row>
    <row r="94" spans="1:15" ht="43.2" x14ac:dyDescent="0.3">
      <c r="A94" s="1" t="s">
        <v>325</v>
      </c>
      <c r="B94" s="1" t="s">
        <v>264</v>
      </c>
      <c r="C94" s="2">
        <v>45868</v>
      </c>
      <c r="D94" s="1" t="str">
        <f t="shared" si="34"/>
        <v>July</v>
      </c>
      <c r="E94" s="1">
        <f t="shared" si="35"/>
        <v>2025</v>
      </c>
      <c r="F94" s="3" t="s">
        <v>326</v>
      </c>
      <c r="G94" s="1" t="s">
        <v>26</v>
      </c>
      <c r="H94" s="1" t="s">
        <v>19</v>
      </c>
      <c r="I94" s="1" t="s">
        <v>20</v>
      </c>
      <c r="J94" s="1" t="s">
        <v>21</v>
      </c>
      <c r="K94" s="1" t="s">
        <v>35</v>
      </c>
      <c r="L94" s="1" t="s">
        <v>19</v>
      </c>
      <c r="M94" s="1">
        <v>713</v>
      </c>
      <c r="N94" s="1">
        <v>19</v>
      </c>
      <c r="O94" s="4" t="s">
        <v>327</v>
      </c>
    </row>
    <row r="95" spans="1:15" ht="43.2" x14ac:dyDescent="0.3">
      <c r="A95" s="1" t="s">
        <v>328</v>
      </c>
      <c r="B95" s="1" t="s">
        <v>264</v>
      </c>
      <c r="C95" s="2">
        <v>45895</v>
      </c>
      <c r="D95" s="1" t="str">
        <f t="shared" si="34"/>
        <v>August</v>
      </c>
      <c r="E95" s="1">
        <f t="shared" si="35"/>
        <v>2025</v>
      </c>
      <c r="F95" s="3" t="s">
        <v>329</v>
      </c>
      <c r="G95" s="1" t="s">
        <v>18</v>
      </c>
      <c r="H95" s="1" t="s">
        <v>19</v>
      </c>
      <c r="I95" s="1" t="s">
        <v>21</v>
      </c>
      <c r="J95" s="1" t="s">
        <v>20</v>
      </c>
      <c r="K95" s="1" t="s">
        <v>35</v>
      </c>
      <c r="L95" s="1" t="s">
        <v>19</v>
      </c>
      <c r="M95" s="1">
        <v>342</v>
      </c>
      <c r="N95" s="1">
        <v>7</v>
      </c>
      <c r="O95" s="4" t="s">
        <v>330</v>
      </c>
    </row>
    <row r="96" spans="1:15" ht="57.6" x14ac:dyDescent="0.3">
      <c r="A96" s="1" t="s">
        <v>331</v>
      </c>
      <c r="B96" s="1" t="s">
        <v>264</v>
      </c>
      <c r="C96" s="2">
        <v>45897</v>
      </c>
      <c r="D96" s="1" t="str">
        <f t="shared" si="34"/>
        <v>August</v>
      </c>
      <c r="E96" s="1">
        <f t="shared" si="35"/>
        <v>2025</v>
      </c>
      <c r="F96" s="3" t="s">
        <v>332</v>
      </c>
      <c r="G96" s="1" t="s">
        <v>18</v>
      </c>
      <c r="H96" s="1" t="s">
        <v>19</v>
      </c>
      <c r="I96" s="1" t="s">
        <v>21</v>
      </c>
      <c r="J96" s="1" t="s">
        <v>70</v>
      </c>
      <c r="K96" s="1" t="s">
        <v>35</v>
      </c>
      <c r="L96" s="1" t="s">
        <v>19</v>
      </c>
      <c r="M96" s="1">
        <v>1550</v>
      </c>
      <c r="N96" s="1">
        <v>14</v>
      </c>
      <c r="O96" s="4" t="s">
        <v>333</v>
      </c>
    </row>
    <row r="97" spans="1:15" ht="43.2" x14ac:dyDescent="0.3">
      <c r="A97" s="1" t="s">
        <v>334</v>
      </c>
      <c r="B97" s="1" t="s">
        <v>264</v>
      </c>
      <c r="C97" s="2">
        <v>45876</v>
      </c>
      <c r="D97" s="1" t="str">
        <f t="shared" ref="D97" si="37">IF(C97="","",TEXT(C97,"mmmm"))</f>
        <v>August</v>
      </c>
      <c r="E97" s="1">
        <f t="shared" ref="E97" si="38">IF(C97="","",YEAR(C97))</f>
        <v>2025</v>
      </c>
      <c r="F97" s="3" t="s">
        <v>335</v>
      </c>
      <c r="G97" s="1" t="s">
        <v>18</v>
      </c>
      <c r="H97" s="1" t="s">
        <v>19</v>
      </c>
      <c r="I97" s="1" t="s">
        <v>21</v>
      </c>
      <c r="J97" s="1" t="s">
        <v>20</v>
      </c>
      <c r="K97" s="1" t="s">
        <v>22</v>
      </c>
      <c r="L97" s="1" t="s">
        <v>56</v>
      </c>
      <c r="M97" s="1">
        <v>535</v>
      </c>
      <c r="N97" s="1">
        <v>13</v>
      </c>
      <c r="O97" s="4" t="s">
        <v>336</v>
      </c>
    </row>
    <row r="98" spans="1:15" ht="43.2" x14ac:dyDescent="0.3">
      <c r="A98" s="1" t="s">
        <v>337</v>
      </c>
      <c r="B98" s="1" t="s">
        <v>264</v>
      </c>
      <c r="C98" s="2">
        <v>45541</v>
      </c>
      <c r="D98" s="1" t="str">
        <f t="shared" ref="D98:D109" si="39">IF(C98="","",TEXT(C98,"mmmm"))</f>
        <v>September</v>
      </c>
      <c r="E98" s="1">
        <f t="shared" ref="E98:E109" si="40">IF(C98="","",YEAR(C98))</f>
        <v>2024</v>
      </c>
      <c r="F98" s="3" t="s">
        <v>338</v>
      </c>
      <c r="G98" s="1" t="s">
        <v>18</v>
      </c>
      <c r="H98" s="1" t="s">
        <v>19</v>
      </c>
      <c r="I98" s="1" t="s">
        <v>21</v>
      </c>
      <c r="J98" s="1" t="s">
        <v>34</v>
      </c>
      <c r="K98" s="1" t="s">
        <v>35</v>
      </c>
      <c r="L98" s="1" t="s">
        <v>56</v>
      </c>
      <c r="M98" s="1">
        <v>1824</v>
      </c>
      <c r="N98" s="1">
        <v>20</v>
      </c>
      <c r="O98" s="4" t="s">
        <v>339</v>
      </c>
    </row>
    <row r="99" spans="1:15" ht="43.2" x14ac:dyDescent="0.3">
      <c r="A99" s="1" t="s">
        <v>340</v>
      </c>
      <c r="B99" s="1" t="s">
        <v>264</v>
      </c>
      <c r="C99" s="2">
        <v>45548</v>
      </c>
      <c r="D99" s="1" t="str">
        <f t="shared" si="39"/>
        <v>September</v>
      </c>
      <c r="E99" s="1">
        <f t="shared" si="40"/>
        <v>2024</v>
      </c>
      <c r="F99" s="3" t="s">
        <v>341</v>
      </c>
      <c r="G99" s="1" t="s">
        <v>18</v>
      </c>
      <c r="H99" s="1" t="s">
        <v>19</v>
      </c>
      <c r="I99" s="1" t="s">
        <v>20</v>
      </c>
      <c r="J99" s="1" t="s">
        <v>28</v>
      </c>
      <c r="K99" s="1" t="s">
        <v>43</v>
      </c>
      <c r="L99" s="1" t="s">
        <v>19</v>
      </c>
      <c r="M99" s="1">
        <v>1013</v>
      </c>
      <c r="N99" s="1">
        <v>32</v>
      </c>
      <c r="O99" s="4" t="s">
        <v>342</v>
      </c>
    </row>
    <row r="100" spans="1:15" ht="57.6" x14ac:dyDescent="0.3">
      <c r="A100" s="1" t="s">
        <v>343</v>
      </c>
      <c r="B100" s="1" t="s">
        <v>264</v>
      </c>
      <c r="C100" s="2">
        <v>45554</v>
      </c>
      <c r="D100" s="1" t="str">
        <f t="shared" si="39"/>
        <v>September</v>
      </c>
      <c r="E100" s="1">
        <f t="shared" si="40"/>
        <v>2024</v>
      </c>
      <c r="F100" s="3" t="s">
        <v>344</v>
      </c>
      <c r="G100" s="1" t="s">
        <v>18</v>
      </c>
      <c r="H100" s="1" t="s">
        <v>19</v>
      </c>
      <c r="I100" s="1" t="s">
        <v>20</v>
      </c>
      <c r="J100" s="1" t="s">
        <v>21</v>
      </c>
      <c r="K100" s="1" t="s">
        <v>43</v>
      </c>
      <c r="L100" s="1" t="s">
        <v>19</v>
      </c>
      <c r="M100" s="1">
        <v>420</v>
      </c>
      <c r="N100" s="1">
        <v>36</v>
      </c>
      <c r="O100" s="4" t="s">
        <v>345</v>
      </c>
    </row>
    <row r="101" spans="1:15" ht="21.45" customHeight="1" x14ac:dyDescent="0.3">
      <c r="A101" s="1" t="s">
        <v>346</v>
      </c>
      <c r="B101" s="1" t="s">
        <v>264</v>
      </c>
      <c r="C101" s="2">
        <v>45568</v>
      </c>
      <c r="D101" s="1" t="str">
        <f t="shared" si="39"/>
        <v>October</v>
      </c>
      <c r="E101" s="1">
        <f t="shared" si="40"/>
        <v>2024</v>
      </c>
      <c r="F101" s="3" t="s">
        <v>347</v>
      </c>
      <c r="G101" s="1" t="s">
        <v>18</v>
      </c>
      <c r="H101" s="1" t="s">
        <v>19</v>
      </c>
      <c r="I101" s="1" t="s">
        <v>60</v>
      </c>
      <c r="J101" s="1" t="s">
        <v>28</v>
      </c>
      <c r="K101" s="1" t="s">
        <v>62</v>
      </c>
      <c r="L101" s="1" t="s">
        <v>19</v>
      </c>
      <c r="M101" s="1">
        <v>458</v>
      </c>
      <c r="N101" s="1">
        <v>10</v>
      </c>
      <c r="O101" s="4" t="s">
        <v>348</v>
      </c>
    </row>
    <row r="102" spans="1:15" ht="43.2" x14ac:dyDescent="0.3">
      <c r="A102" s="1" t="s">
        <v>349</v>
      </c>
      <c r="B102" s="1" t="s">
        <v>264</v>
      </c>
      <c r="C102" s="2">
        <v>45583</v>
      </c>
      <c r="D102" s="1" t="str">
        <f t="shared" si="39"/>
        <v>October</v>
      </c>
      <c r="E102" s="1">
        <f t="shared" si="40"/>
        <v>2024</v>
      </c>
      <c r="F102" s="3" t="s">
        <v>350</v>
      </c>
      <c r="G102" s="1" t="s">
        <v>18</v>
      </c>
      <c r="H102" s="1" t="s">
        <v>19</v>
      </c>
      <c r="I102" s="1" t="s">
        <v>20</v>
      </c>
      <c r="J102" s="1" t="s">
        <v>21</v>
      </c>
      <c r="K102" s="1" t="s">
        <v>55</v>
      </c>
      <c r="L102" s="1" t="s">
        <v>56</v>
      </c>
      <c r="M102" s="1">
        <v>280</v>
      </c>
      <c r="N102" s="1">
        <v>0</v>
      </c>
      <c r="O102" s="4" t="s">
        <v>351</v>
      </c>
    </row>
    <row r="103" spans="1:15" ht="43.2" x14ac:dyDescent="0.3">
      <c r="A103" s="1" t="s">
        <v>352</v>
      </c>
      <c r="B103" s="1" t="s">
        <v>264</v>
      </c>
      <c r="C103" s="2">
        <v>45590</v>
      </c>
      <c r="D103" s="1" t="str">
        <f t="shared" si="39"/>
        <v>October</v>
      </c>
      <c r="E103" s="1">
        <f t="shared" si="40"/>
        <v>2024</v>
      </c>
      <c r="F103" s="3" t="s">
        <v>353</v>
      </c>
      <c r="G103" s="1" t="s">
        <v>18</v>
      </c>
      <c r="H103" s="1" t="s">
        <v>19</v>
      </c>
      <c r="I103" s="4" t="s">
        <v>120</v>
      </c>
      <c r="J103" s="4" t="s">
        <v>20</v>
      </c>
      <c r="K103" s="4" t="s">
        <v>66</v>
      </c>
      <c r="L103" s="4" t="s">
        <v>56</v>
      </c>
      <c r="M103" s="4">
        <v>623</v>
      </c>
      <c r="N103" s="1">
        <v>0</v>
      </c>
      <c r="O103" s="4" t="s">
        <v>354</v>
      </c>
    </row>
    <row r="104" spans="1:15" ht="57.6" x14ac:dyDescent="0.3">
      <c r="A104" s="1" t="s">
        <v>355</v>
      </c>
      <c r="B104" s="1" t="s">
        <v>264</v>
      </c>
      <c r="C104" s="2">
        <v>45597</v>
      </c>
      <c r="D104" s="1" t="str">
        <f t="shared" si="39"/>
        <v>November</v>
      </c>
      <c r="E104" s="1">
        <f t="shared" si="40"/>
        <v>2024</v>
      </c>
      <c r="F104" s="3" t="s">
        <v>356</v>
      </c>
      <c r="G104" s="1" t="s">
        <v>18</v>
      </c>
      <c r="H104" s="1" t="s">
        <v>19</v>
      </c>
      <c r="I104" s="4" t="s">
        <v>120</v>
      </c>
      <c r="J104" s="4" t="s">
        <v>20</v>
      </c>
      <c r="K104" s="4" t="s">
        <v>66</v>
      </c>
      <c r="L104" s="4" t="s">
        <v>19</v>
      </c>
      <c r="M104" s="4">
        <v>2628</v>
      </c>
      <c r="N104" s="1">
        <v>0</v>
      </c>
      <c r="O104" s="4" t="s">
        <v>357</v>
      </c>
    </row>
    <row r="105" spans="1:15" ht="43.2" x14ac:dyDescent="0.3">
      <c r="A105" s="1" t="s">
        <v>358</v>
      </c>
      <c r="B105" s="1" t="s">
        <v>264</v>
      </c>
      <c r="C105" s="2">
        <v>45600</v>
      </c>
      <c r="D105" s="1" t="str">
        <f t="shared" si="39"/>
        <v>November</v>
      </c>
      <c r="E105" s="1">
        <f t="shared" si="40"/>
        <v>2024</v>
      </c>
      <c r="F105" s="3" t="s">
        <v>359</v>
      </c>
      <c r="G105" s="1" t="s">
        <v>26</v>
      </c>
      <c r="H105" s="1" t="s">
        <v>19</v>
      </c>
      <c r="I105" s="4" t="s">
        <v>70</v>
      </c>
      <c r="J105" s="4" t="s">
        <v>34</v>
      </c>
      <c r="K105" s="4" t="s">
        <v>93</v>
      </c>
      <c r="L105" s="4" t="s">
        <v>56</v>
      </c>
      <c r="M105" s="4">
        <v>977</v>
      </c>
      <c r="N105" s="1">
        <v>0</v>
      </c>
      <c r="O105" s="4" t="s">
        <v>360</v>
      </c>
    </row>
    <row r="106" spans="1:15" ht="43.2" x14ac:dyDescent="0.3">
      <c r="A106" s="1" t="s">
        <v>361</v>
      </c>
      <c r="B106" s="1" t="s">
        <v>264</v>
      </c>
      <c r="C106" s="2">
        <v>45618</v>
      </c>
      <c r="D106" s="1" t="str">
        <f t="shared" si="39"/>
        <v>November</v>
      </c>
      <c r="E106" s="1">
        <f t="shared" si="40"/>
        <v>2024</v>
      </c>
      <c r="F106" s="3" t="s">
        <v>362</v>
      </c>
      <c r="G106" s="1" t="s">
        <v>26</v>
      </c>
      <c r="H106" s="1" t="s">
        <v>19</v>
      </c>
      <c r="I106" s="4" t="s">
        <v>34</v>
      </c>
      <c r="J106" s="4" t="s">
        <v>48</v>
      </c>
      <c r="K106" s="4" t="s">
        <v>93</v>
      </c>
      <c r="L106" s="4" t="s">
        <v>56</v>
      </c>
      <c r="M106" s="4">
        <v>1135</v>
      </c>
      <c r="N106" s="1">
        <v>0</v>
      </c>
      <c r="O106" s="4" t="s">
        <v>363</v>
      </c>
    </row>
    <row r="107" spans="1:15" ht="57.6" x14ac:dyDescent="0.3">
      <c r="A107" s="1" t="s">
        <v>364</v>
      </c>
      <c r="B107" s="1" t="s">
        <v>264</v>
      </c>
      <c r="C107" s="2">
        <v>45628</v>
      </c>
      <c r="D107" s="1" t="str">
        <f t="shared" si="39"/>
        <v>December</v>
      </c>
      <c r="E107" s="1">
        <f t="shared" si="40"/>
        <v>2024</v>
      </c>
      <c r="F107" s="3" t="s">
        <v>365</v>
      </c>
      <c r="G107" s="1" t="s">
        <v>18</v>
      </c>
      <c r="H107" s="1" t="s">
        <v>19</v>
      </c>
      <c r="I107" s="4" t="s">
        <v>20</v>
      </c>
      <c r="J107" s="4" t="s">
        <v>21</v>
      </c>
      <c r="K107" s="4" t="s">
        <v>66</v>
      </c>
      <c r="L107" s="4" t="s">
        <v>19</v>
      </c>
      <c r="M107" s="4">
        <v>325</v>
      </c>
      <c r="N107" s="1">
        <v>0</v>
      </c>
      <c r="O107" s="4" t="s">
        <v>366</v>
      </c>
    </row>
    <row r="108" spans="1:15" ht="43.2" x14ac:dyDescent="0.3">
      <c r="A108" s="1" t="s">
        <v>367</v>
      </c>
      <c r="B108" s="1" t="s">
        <v>264</v>
      </c>
      <c r="C108" s="2">
        <v>45639</v>
      </c>
      <c r="D108" s="1" t="str">
        <f t="shared" si="39"/>
        <v>December</v>
      </c>
      <c r="E108" s="1">
        <f t="shared" si="40"/>
        <v>2024</v>
      </c>
      <c r="F108" s="3" t="s">
        <v>368</v>
      </c>
      <c r="G108" s="1" t="s">
        <v>18</v>
      </c>
      <c r="H108" s="1" t="s">
        <v>19</v>
      </c>
      <c r="I108" s="4" t="s">
        <v>28</v>
      </c>
      <c r="J108" s="4" t="s">
        <v>20</v>
      </c>
      <c r="K108" s="4" t="s">
        <v>66</v>
      </c>
      <c r="L108" s="4" t="s">
        <v>56</v>
      </c>
      <c r="M108" s="4">
        <v>487</v>
      </c>
      <c r="N108" s="1">
        <v>0</v>
      </c>
      <c r="O108" s="4" t="s">
        <v>369</v>
      </c>
    </row>
    <row r="109" spans="1:15" ht="43.2" x14ac:dyDescent="0.3">
      <c r="A109" s="1" t="s">
        <v>370</v>
      </c>
      <c r="B109" s="1" t="s">
        <v>264</v>
      </c>
      <c r="C109" s="2">
        <v>45650</v>
      </c>
      <c r="D109" s="1" t="str">
        <f t="shared" si="39"/>
        <v>December</v>
      </c>
      <c r="E109" s="1">
        <f t="shared" si="40"/>
        <v>2024</v>
      </c>
      <c r="F109" s="3" t="s">
        <v>371</v>
      </c>
      <c r="G109" s="1" t="s">
        <v>18</v>
      </c>
      <c r="H109" s="1" t="s">
        <v>19</v>
      </c>
      <c r="I109" s="4" t="s">
        <v>101</v>
      </c>
      <c r="J109" s="4" t="s">
        <v>20</v>
      </c>
      <c r="K109" s="4" t="s">
        <v>66</v>
      </c>
      <c r="L109" s="4" t="s">
        <v>56</v>
      </c>
      <c r="M109" s="4">
        <v>944</v>
      </c>
      <c r="N109" s="1">
        <v>0</v>
      </c>
      <c r="O109" s="4" t="s">
        <v>372</v>
      </c>
    </row>
    <row r="110" spans="1:15" s="7" customFormat="1" ht="43.2" x14ac:dyDescent="0.3">
      <c r="A110" s="7" t="s">
        <v>373</v>
      </c>
      <c r="B110" s="7" t="s">
        <v>374</v>
      </c>
      <c r="C110" s="8">
        <v>45667</v>
      </c>
      <c r="D110" s="10" t="str">
        <f t="shared" ref="D110:D131" si="41">IF(C110="","",TEXT(C110,"mmmm"))</f>
        <v>January</v>
      </c>
      <c r="E110" s="10">
        <f t="shared" ref="E110:E131" si="42">IF(C110="","",YEAR(C110))</f>
        <v>2025</v>
      </c>
      <c r="F110" s="9" t="s">
        <v>375</v>
      </c>
      <c r="G110" s="10" t="s">
        <v>47</v>
      </c>
      <c r="H110" s="10" t="s">
        <v>19</v>
      </c>
      <c r="I110" s="10" t="s">
        <v>120</v>
      </c>
      <c r="J110" s="10" t="s">
        <v>61</v>
      </c>
      <c r="K110" s="10" t="s">
        <v>29</v>
      </c>
      <c r="L110" s="10" t="s">
        <v>56</v>
      </c>
      <c r="M110" s="10">
        <v>397</v>
      </c>
      <c r="N110" s="10">
        <v>3</v>
      </c>
      <c r="O110" s="10" t="s">
        <v>376</v>
      </c>
    </row>
    <row r="111" spans="1:15" ht="43.2" x14ac:dyDescent="0.3">
      <c r="A111" s="1" t="s">
        <v>377</v>
      </c>
      <c r="B111" s="1" t="s">
        <v>374</v>
      </c>
      <c r="C111" s="6">
        <v>45669</v>
      </c>
      <c r="D111" s="4" t="str">
        <f t="shared" si="41"/>
        <v>January</v>
      </c>
      <c r="E111" s="4">
        <f t="shared" si="42"/>
        <v>2025</v>
      </c>
      <c r="F111" s="3" t="s">
        <v>378</v>
      </c>
      <c r="G111" s="4" t="s">
        <v>47</v>
      </c>
      <c r="H111" s="4" t="s">
        <v>19</v>
      </c>
      <c r="I111" s="4" t="s">
        <v>20</v>
      </c>
      <c r="J111" s="4" t="s">
        <v>120</v>
      </c>
      <c r="K111" s="4" t="s">
        <v>29</v>
      </c>
      <c r="L111" s="4" t="s">
        <v>56</v>
      </c>
      <c r="M111" s="4">
        <v>2153</v>
      </c>
      <c r="N111" s="4">
        <v>10</v>
      </c>
      <c r="O111" s="4" t="s">
        <v>379</v>
      </c>
    </row>
    <row r="112" spans="1:15" ht="43.2" x14ac:dyDescent="0.3">
      <c r="A112" s="1" t="s">
        <v>380</v>
      </c>
      <c r="B112" s="1" t="s">
        <v>374</v>
      </c>
      <c r="C112" s="6">
        <v>45680</v>
      </c>
      <c r="D112" s="4" t="str">
        <f t="shared" si="41"/>
        <v>January</v>
      </c>
      <c r="E112" s="4">
        <f t="shared" si="42"/>
        <v>2025</v>
      </c>
      <c r="F112" s="3" t="s">
        <v>381</v>
      </c>
      <c r="G112" s="4" t="s">
        <v>18</v>
      </c>
      <c r="H112" s="4" t="s">
        <v>19</v>
      </c>
      <c r="I112" s="4" t="s">
        <v>21</v>
      </c>
      <c r="J112" s="4" t="s">
        <v>70</v>
      </c>
      <c r="K112" s="4" t="s">
        <v>35</v>
      </c>
      <c r="L112" s="4" t="s">
        <v>19</v>
      </c>
      <c r="M112" s="4">
        <v>955</v>
      </c>
      <c r="N112" s="4">
        <v>3</v>
      </c>
      <c r="O112" s="4" t="s">
        <v>382</v>
      </c>
    </row>
    <row r="113" spans="1:15" ht="43.2" x14ac:dyDescent="0.3">
      <c r="A113" s="1" t="s">
        <v>383</v>
      </c>
      <c r="B113" s="1" t="s">
        <v>374</v>
      </c>
      <c r="C113" s="6">
        <v>45698</v>
      </c>
      <c r="D113" s="4" t="str">
        <f t="shared" si="41"/>
        <v>February</v>
      </c>
      <c r="E113" s="4">
        <f t="shared" si="42"/>
        <v>2025</v>
      </c>
      <c r="F113" s="3" t="s">
        <v>384</v>
      </c>
      <c r="G113" s="4" t="s">
        <v>26</v>
      </c>
      <c r="H113" s="4" t="s">
        <v>19</v>
      </c>
      <c r="I113" s="4" t="s">
        <v>39</v>
      </c>
      <c r="J113" s="4" t="s">
        <v>21</v>
      </c>
      <c r="K113" s="4" t="s">
        <v>93</v>
      </c>
      <c r="L113" s="4" t="s">
        <v>19</v>
      </c>
      <c r="M113" s="4">
        <v>171</v>
      </c>
      <c r="N113" s="4">
        <v>2</v>
      </c>
      <c r="O113" s="4" t="s">
        <v>385</v>
      </c>
    </row>
    <row r="114" spans="1:15" ht="43.2" x14ac:dyDescent="0.3">
      <c r="A114" s="1" t="s">
        <v>386</v>
      </c>
      <c r="B114" s="1" t="s">
        <v>374</v>
      </c>
      <c r="C114" s="6">
        <v>45701</v>
      </c>
      <c r="D114" s="4" t="str">
        <f t="shared" si="41"/>
        <v>February</v>
      </c>
      <c r="E114" s="4">
        <f t="shared" si="42"/>
        <v>2025</v>
      </c>
      <c r="F114" s="3" t="s">
        <v>387</v>
      </c>
      <c r="G114" s="4" t="s">
        <v>26</v>
      </c>
      <c r="H114" s="4" t="s">
        <v>19</v>
      </c>
      <c r="I114" s="4" t="s">
        <v>60</v>
      </c>
      <c r="J114" s="4" t="s">
        <v>34</v>
      </c>
      <c r="K114" s="4" t="s">
        <v>66</v>
      </c>
      <c r="L114" s="4" t="s">
        <v>19</v>
      </c>
      <c r="M114" s="4">
        <v>172</v>
      </c>
      <c r="N114" s="4">
        <v>2</v>
      </c>
      <c r="O114" s="4" t="s">
        <v>388</v>
      </c>
    </row>
    <row r="115" spans="1:15" ht="43.2" x14ac:dyDescent="0.3">
      <c r="A115" s="1" t="s">
        <v>389</v>
      </c>
      <c r="B115" s="1" t="s">
        <v>374</v>
      </c>
      <c r="C115" s="6">
        <v>45712</v>
      </c>
      <c r="D115" s="4" t="str">
        <f t="shared" si="41"/>
        <v>February</v>
      </c>
      <c r="E115" s="4">
        <f t="shared" si="42"/>
        <v>2025</v>
      </c>
      <c r="F115" s="3" t="s">
        <v>390</v>
      </c>
      <c r="G115" s="4" t="s">
        <v>18</v>
      </c>
      <c r="H115" s="4" t="s">
        <v>19</v>
      </c>
      <c r="I115" s="4" t="s">
        <v>20</v>
      </c>
      <c r="J115" s="4" t="s">
        <v>28</v>
      </c>
      <c r="K115" s="4" t="s">
        <v>66</v>
      </c>
      <c r="L115" s="4" t="s">
        <v>19</v>
      </c>
      <c r="M115" s="4">
        <v>732</v>
      </c>
      <c r="N115" s="4">
        <v>8</v>
      </c>
      <c r="O115" s="4" t="s">
        <v>391</v>
      </c>
    </row>
    <row r="116" spans="1:15" ht="43.2" x14ac:dyDescent="0.3">
      <c r="A116" s="1" t="s">
        <v>392</v>
      </c>
      <c r="B116" s="1" t="s">
        <v>374</v>
      </c>
      <c r="C116" s="6">
        <v>45719</v>
      </c>
      <c r="D116" s="4" t="str">
        <f t="shared" si="41"/>
        <v>March</v>
      </c>
      <c r="E116" s="4">
        <f t="shared" si="42"/>
        <v>2025</v>
      </c>
      <c r="F116" s="3" t="s">
        <v>393</v>
      </c>
      <c r="G116" s="4" t="s">
        <v>18</v>
      </c>
      <c r="H116" s="4" t="s">
        <v>19</v>
      </c>
      <c r="I116" s="4" t="s">
        <v>20</v>
      </c>
      <c r="J116" s="4" t="s">
        <v>124</v>
      </c>
      <c r="K116" s="4" t="s">
        <v>66</v>
      </c>
      <c r="L116" s="4" t="s">
        <v>19</v>
      </c>
      <c r="M116" s="4">
        <v>970</v>
      </c>
      <c r="N116" s="4">
        <v>11</v>
      </c>
      <c r="O116" s="4" t="s">
        <v>394</v>
      </c>
    </row>
    <row r="117" spans="1:15" ht="43.2" x14ac:dyDescent="0.3">
      <c r="A117" s="1" t="s">
        <v>395</v>
      </c>
      <c r="B117" s="1" t="s">
        <v>374</v>
      </c>
      <c r="C117" s="6">
        <v>45741</v>
      </c>
      <c r="D117" s="4" t="str">
        <f t="shared" si="41"/>
        <v>March</v>
      </c>
      <c r="E117" s="4">
        <f t="shared" si="42"/>
        <v>2025</v>
      </c>
      <c r="F117" s="3" t="s">
        <v>396</v>
      </c>
      <c r="G117" s="4" t="s">
        <v>18</v>
      </c>
      <c r="H117" s="4" t="s">
        <v>19</v>
      </c>
      <c r="I117" s="4" t="s">
        <v>60</v>
      </c>
      <c r="J117" s="4" t="s">
        <v>20</v>
      </c>
      <c r="K117" s="4" t="s">
        <v>66</v>
      </c>
      <c r="L117" s="4" t="s">
        <v>19</v>
      </c>
      <c r="M117" s="4">
        <v>142</v>
      </c>
      <c r="N117" s="4">
        <v>1</v>
      </c>
      <c r="O117" s="4" t="s">
        <v>397</v>
      </c>
    </row>
    <row r="118" spans="1:15" ht="43.2" x14ac:dyDescent="0.3">
      <c r="A118" s="1" t="s">
        <v>398</v>
      </c>
      <c r="B118" s="1" t="s">
        <v>374</v>
      </c>
      <c r="C118" s="6">
        <v>45744</v>
      </c>
      <c r="D118" s="4" t="str">
        <f t="shared" si="41"/>
        <v>March</v>
      </c>
      <c r="E118" s="4">
        <f t="shared" si="42"/>
        <v>2025</v>
      </c>
      <c r="F118" s="3" t="s">
        <v>399</v>
      </c>
      <c r="G118" s="4" t="s">
        <v>18</v>
      </c>
      <c r="H118" s="4" t="s">
        <v>19</v>
      </c>
      <c r="I118" s="4" t="s">
        <v>70</v>
      </c>
      <c r="J118" s="4" t="s">
        <v>60</v>
      </c>
      <c r="K118" s="4" t="s">
        <v>66</v>
      </c>
      <c r="L118" s="4" t="s">
        <v>19</v>
      </c>
      <c r="M118" s="4">
        <v>269</v>
      </c>
      <c r="N118" s="4">
        <v>4</v>
      </c>
      <c r="O118" s="4" t="s">
        <v>400</v>
      </c>
    </row>
    <row r="119" spans="1:15" ht="43.2" x14ac:dyDescent="0.3">
      <c r="A119" s="1" t="s">
        <v>401</v>
      </c>
      <c r="B119" s="1" t="s">
        <v>374</v>
      </c>
      <c r="C119" s="6">
        <v>45754</v>
      </c>
      <c r="D119" s="4" t="str">
        <f t="shared" si="41"/>
        <v>April</v>
      </c>
      <c r="E119" s="4">
        <f t="shared" si="42"/>
        <v>2025</v>
      </c>
      <c r="F119" s="3" t="s">
        <v>402</v>
      </c>
      <c r="G119" s="4" t="s">
        <v>18</v>
      </c>
      <c r="H119" s="4" t="s">
        <v>19</v>
      </c>
      <c r="I119" s="4" t="s">
        <v>20</v>
      </c>
      <c r="J119" s="4" t="s">
        <v>28</v>
      </c>
      <c r="K119" s="4" t="s">
        <v>43</v>
      </c>
      <c r="L119" s="4" t="s">
        <v>19</v>
      </c>
      <c r="M119" s="4">
        <v>1351</v>
      </c>
      <c r="N119" s="4">
        <v>31</v>
      </c>
      <c r="O119" s="4" t="s">
        <v>403</v>
      </c>
    </row>
    <row r="120" spans="1:15" ht="43.2" x14ac:dyDescent="0.3">
      <c r="A120" s="1" t="s">
        <v>404</v>
      </c>
      <c r="B120" s="1" t="s">
        <v>374</v>
      </c>
      <c r="C120" s="6">
        <v>45769</v>
      </c>
      <c r="D120" s="4" t="str">
        <f t="shared" si="41"/>
        <v>April</v>
      </c>
      <c r="E120" s="4">
        <f t="shared" si="42"/>
        <v>2025</v>
      </c>
      <c r="F120" s="3" t="s">
        <v>405</v>
      </c>
      <c r="G120" s="4" t="s">
        <v>18</v>
      </c>
      <c r="H120" s="4" t="s">
        <v>19</v>
      </c>
      <c r="I120" s="4" t="s">
        <v>21</v>
      </c>
      <c r="J120" s="4" t="s">
        <v>20</v>
      </c>
      <c r="K120" s="4" t="s">
        <v>22</v>
      </c>
      <c r="L120" s="4" t="s">
        <v>19</v>
      </c>
      <c r="M120" s="4">
        <v>1247</v>
      </c>
      <c r="N120" s="4">
        <v>12</v>
      </c>
      <c r="O120" s="4" t="s">
        <v>406</v>
      </c>
    </row>
    <row r="121" spans="1:15" ht="43.2" x14ac:dyDescent="0.3">
      <c r="A121" s="1" t="s">
        <v>407</v>
      </c>
      <c r="B121" s="1" t="s">
        <v>374</v>
      </c>
      <c r="C121" s="6">
        <v>45770</v>
      </c>
      <c r="D121" s="4" t="str">
        <f t="shared" si="41"/>
        <v>April</v>
      </c>
      <c r="E121" s="4">
        <f t="shared" si="42"/>
        <v>2025</v>
      </c>
      <c r="F121" s="3" t="s">
        <v>408</v>
      </c>
      <c r="G121" s="4" t="s">
        <v>18</v>
      </c>
      <c r="H121" s="4" t="s">
        <v>19</v>
      </c>
      <c r="I121" s="4" t="s">
        <v>60</v>
      </c>
      <c r="J121" s="4" t="s">
        <v>20</v>
      </c>
      <c r="K121" s="4" t="s">
        <v>66</v>
      </c>
      <c r="L121" s="4" t="s">
        <v>19</v>
      </c>
      <c r="M121" s="4">
        <v>715</v>
      </c>
      <c r="N121" s="4">
        <v>8</v>
      </c>
      <c r="O121" s="4" t="s">
        <v>409</v>
      </c>
    </row>
    <row r="122" spans="1:15" ht="43.2" x14ac:dyDescent="0.3">
      <c r="A122" s="1" t="s">
        <v>410</v>
      </c>
      <c r="B122" s="1" t="s">
        <v>374</v>
      </c>
      <c r="C122" s="6">
        <v>45790</v>
      </c>
      <c r="D122" s="4" t="str">
        <f t="shared" si="41"/>
        <v>May</v>
      </c>
      <c r="E122" s="4">
        <f t="shared" si="42"/>
        <v>2025</v>
      </c>
      <c r="F122" s="3" t="s">
        <v>411</v>
      </c>
      <c r="G122" s="4" t="s">
        <v>26</v>
      </c>
      <c r="H122" s="4" t="s">
        <v>19</v>
      </c>
      <c r="I122" s="4" t="s">
        <v>39</v>
      </c>
      <c r="J122" s="4" t="s">
        <v>27</v>
      </c>
      <c r="K122" s="4" t="s">
        <v>55</v>
      </c>
      <c r="L122" s="4" t="s">
        <v>56</v>
      </c>
      <c r="M122" s="4">
        <v>739</v>
      </c>
      <c r="N122" s="4">
        <v>6</v>
      </c>
      <c r="O122" s="4" t="s">
        <v>412</v>
      </c>
    </row>
    <row r="123" spans="1:15" ht="43.2" x14ac:dyDescent="0.3">
      <c r="A123" s="1" t="s">
        <v>413</v>
      </c>
      <c r="B123" s="1" t="s">
        <v>374</v>
      </c>
      <c r="C123" s="6">
        <v>45798</v>
      </c>
      <c r="D123" s="4" t="str">
        <f t="shared" si="41"/>
        <v>May</v>
      </c>
      <c r="E123" s="4">
        <f t="shared" si="42"/>
        <v>2025</v>
      </c>
      <c r="F123" s="3" t="s">
        <v>414</v>
      </c>
      <c r="G123" s="4" t="s">
        <v>18</v>
      </c>
      <c r="H123" s="4" t="s">
        <v>19</v>
      </c>
      <c r="I123" s="4" t="s">
        <v>20</v>
      </c>
      <c r="J123" s="4" t="s">
        <v>101</v>
      </c>
      <c r="K123" s="4" t="s">
        <v>62</v>
      </c>
      <c r="L123" s="4" t="s">
        <v>19</v>
      </c>
      <c r="M123" s="4">
        <v>726</v>
      </c>
      <c r="N123" s="4">
        <v>14</v>
      </c>
      <c r="O123" s="4" t="s">
        <v>415</v>
      </c>
    </row>
    <row r="124" spans="1:15" ht="43.2" x14ac:dyDescent="0.3">
      <c r="A124" s="1" t="s">
        <v>416</v>
      </c>
      <c r="B124" s="1" t="s">
        <v>374</v>
      </c>
      <c r="C124" s="6">
        <v>45784</v>
      </c>
      <c r="D124" s="4" t="str">
        <f t="shared" ref="D124" si="43">IF(C124="","",TEXT(C124,"mmmm"))</f>
        <v>May</v>
      </c>
      <c r="E124" s="4">
        <f t="shared" ref="E124" si="44">IF(C124="","",YEAR(C124))</f>
        <v>2025</v>
      </c>
      <c r="F124" s="3" t="s">
        <v>417</v>
      </c>
      <c r="G124" s="4" t="s">
        <v>18</v>
      </c>
      <c r="H124" s="4" t="s">
        <v>19</v>
      </c>
      <c r="I124" s="4" t="s">
        <v>33</v>
      </c>
      <c r="J124" s="4" t="s">
        <v>61</v>
      </c>
      <c r="K124" s="4" t="s">
        <v>55</v>
      </c>
      <c r="L124" s="4" t="s">
        <v>56</v>
      </c>
      <c r="M124" s="4">
        <v>617</v>
      </c>
      <c r="N124" s="4">
        <v>7</v>
      </c>
      <c r="O124" s="4" t="s">
        <v>418</v>
      </c>
    </row>
    <row r="125" spans="1:15" ht="43.2" x14ac:dyDescent="0.3">
      <c r="A125" s="1" t="s">
        <v>419</v>
      </c>
      <c r="B125" s="1" t="s">
        <v>374</v>
      </c>
      <c r="C125" s="6">
        <v>45810</v>
      </c>
      <c r="D125" s="4" t="str">
        <f t="shared" si="41"/>
        <v>June</v>
      </c>
      <c r="E125" s="4">
        <f t="shared" si="42"/>
        <v>2025</v>
      </c>
      <c r="F125" s="3" t="s">
        <v>420</v>
      </c>
      <c r="G125" s="4" t="s">
        <v>18</v>
      </c>
      <c r="H125" s="4" t="s">
        <v>19</v>
      </c>
      <c r="I125" s="4" t="s">
        <v>20</v>
      </c>
      <c r="J125" s="4" t="s">
        <v>48</v>
      </c>
      <c r="K125" s="4" t="s">
        <v>35</v>
      </c>
      <c r="L125" s="4" t="s">
        <v>56</v>
      </c>
      <c r="M125" s="4">
        <v>299</v>
      </c>
      <c r="N125" s="4">
        <v>7</v>
      </c>
      <c r="O125" s="4" t="s">
        <v>421</v>
      </c>
    </row>
    <row r="126" spans="1:15" ht="43.2" x14ac:dyDescent="0.3">
      <c r="A126" s="1" t="s">
        <v>422</v>
      </c>
      <c r="B126" s="1" t="s">
        <v>374</v>
      </c>
      <c r="C126" s="6">
        <v>45825</v>
      </c>
      <c r="D126" s="4" t="str">
        <f t="shared" si="41"/>
        <v>June</v>
      </c>
      <c r="E126" s="4">
        <f t="shared" si="42"/>
        <v>2025</v>
      </c>
      <c r="F126" s="3" t="s">
        <v>423</v>
      </c>
      <c r="G126" s="4" t="s">
        <v>26</v>
      </c>
      <c r="H126" s="4" t="s">
        <v>19</v>
      </c>
      <c r="I126" s="4" t="s">
        <v>20</v>
      </c>
      <c r="J126" s="4" t="s">
        <v>21</v>
      </c>
      <c r="K126" s="4" t="s">
        <v>55</v>
      </c>
      <c r="L126" s="4" t="s">
        <v>56</v>
      </c>
      <c r="M126" s="4">
        <v>2763</v>
      </c>
      <c r="N126" s="4">
        <v>14</v>
      </c>
      <c r="O126" s="4" t="s">
        <v>424</v>
      </c>
    </row>
    <row r="127" spans="1:15" ht="43.2" x14ac:dyDescent="0.3">
      <c r="A127" s="1" t="s">
        <v>425</v>
      </c>
      <c r="B127" s="1" t="s">
        <v>374</v>
      </c>
      <c r="C127" s="6">
        <v>45838</v>
      </c>
      <c r="D127" s="4" t="str">
        <f t="shared" si="41"/>
        <v>June</v>
      </c>
      <c r="E127" s="4">
        <f t="shared" si="42"/>
        <v>2025</v>
      </c>
      <c r="F127" s="3" t="s">
        <v>426</v>
      </c>
      <c r="G127" s="4" t="s">
        <v>18</v>
      </c>
      <c r="H127" s="4" t="s">
        <v>19</v>
      </c>
      <c r="I127" s="4" t="s">
        <v>60</v>
      </c>
      <c r="J127" s="4" t="s">
        <v>97</v>
      </c>
      <c r="K127" s="4" t="s">
        <v>22</v>
      </c>
      <c r="L127" s="4" t="s">
        <v>56</v>
      </c>
      <c r="M127" s="4">
        <v>320</v>
      </c>
      <c r="N127" s="4">
        <v>6</v>
      </c>
      <c r="O127" s="4" t="s">
        <v>427</v>
      </c>
    </row>
    <row r="128" spans="1:15" ht="57.6" x14ac:dyDescent="0.3">
      <c r="A128" s="1" t="s">
        <v>428</v>
      </c>
      <c r="B128" s="1" t="s">
        <v>374</v>
      </c>
      <c r="C128" s="6">
        <v>45868</v>
      </c>
      <c r="D128" s="4" t="str">
        <f t="shared" si="41"/>
        <v>July</v>
      </c>
      <c r="E128" s="4">
        <f t="shared" si="42"/>
        <v>2025</v>
      </c>
      <c r="F128" s="3" t="s">
        <v>429</v>
      </c>
      <c r="G128" s="4" t="s">
        <v>18</v>
      </c>
      <c r="H128" s="4" t="s">
        <v>19</v>
      </c>
      <c r="I128" s="4" t="s">
        <v>60</v>
      </c>
      <c r="J128" s="4" t="s">
        <v>20</v>
      </c>
      <c r="K128" s="4" t="s">
        <v>66</v>
      </c>
      <c r="L128" s="4" t="s">
        <v>19</v>
      </c>
      <c r="M128" s="4">
        <v>900</v>
      </c>
      <c r="N128" s="4">
        <v>39</v>
      </c>
      <c r="O128" s="4" t="s">
        <v>430</v>
      </c>
    </row>
    <row r="129" spans="1:15" ht="72" x14ac:dyDescent="0.3">
      <c r="A129" s="1" t="s">
        <v>431</v>
      </c>
      <c r="B129" s="1" t="s">
        <v>374</v>
      </c>
      <c r="C129" s="6">
        <v>45846</v>
      </c>
      <c r="D129" s="4" t="str">
        <f t="shared" ref="D129" si="45">IF(C129="","",TEXT(C129,"mmmm"))</f>
        <v>July</v>
      </c>
      <c r="E129" s="4">
        <f t="shared" ref="E129" si="46">IF(C129="","",YEAR(C129))</f>
        <v>2025</v>
      </c>
      <c r="F129" s="3" t="s">
        <v>432</v>
      </c>
      <c r="G129" s="4" t="s">
        <v>18</v>
      </c>
      <c r="H129" s="4" t="s">
        <v>19</v>
      </c>
      <c r="I129" s="4" t="s">
        <v>39</v>
      </c>
      <c r="J129" s="4" t="s">
        <v>124</v>
      </c>
      <c r="K129" s="4" t="s">
        <v>29</v>
      </c>
      <c r="L129" s="4" t="s">
        <v>19</v>
      </c>
      <c r="M129" s="4">
        <v>149</v>
      </c>
      <c r="N129" s="4">
        <v>3</v>
      </c>
      <c r="O129" s="4" t="s">
        <v>433</v>
      </c>
    </row>
    <row r="130" spans="1:15" ht="43.2" x14ac:dyDescent="0.3">
      <c r="A130" s="1" t="s">
        <v>434</v>
      </c>
      <c r="B130" s="1" t="s">
        <v>374</v>
      </c>
      <c r="C130" s="6">
        <v>45854</v>
      </c>
      <c r="D130" s="4" t="str">
        <f t="shared" ref="D130" si="47">IF(C130="","",TEXT(C130,"mmmm"))</f>
        <v>July</v>
      </c>
      <c r="E130" s="4">
        <f t="shared" ref="E130" si="48">IF(C130="","",YEAR(C130))</f>
        <v>2025</v>
      </c>
      <c r="F130" s="3" t="s">
        <v>435</v>
      </c>
      <c r="G130" s="4" t="s">
        <v>18</v>
      </c>
      <c r="H130" s="4" t="s">
        <v>19</v>
      </c>
      <c r="I130" s="4" t="s">
        <v>20</v>
      </c>
      <c r="J130" s="4" t="s">
        <v>162</v>
      </c>
      <c r="K130" s="4" t="s">
        <v>66</v>
      </c>
      <c r="L130" s="4" t="s">
        <v>19</v>
      </c>
      <c r="M130" s="4">
        <v>386</v>
      </c>
      <c r="N130" s="4">
        <v>8</v>
      </c>
      <c r="O130" s="4" t="s">
        <v>436</v>
      </c>
    </row>
    <row r="131" spans="1:15" ht="39.15" customHeight="1" x14ac:dyDescent="0.3">
      <c r="A131" s="1" t="s">
        <v>437</v>
      </c>
      <c r="B131" s="1" t="s">
        <v>374</v>
      </c>
      <c r="C131" s="6">
        <v>45876</v>
      </c>
      <c r="D131" s="4" t="str">
        <f t="shared" si="41"/>
        <v>August</v>
      </c>
      <c r="E131" s="4">
        <f t="shared" si="42"/>
        <v>2025</v>
      </c>
      <c r="F131" s="3" t="s">
        <v>438</v>
      </c>
      <c r="G131" s="4" t="s">
        <v>18</v>
      </c>
      <c r="H131" s="4" t="s">
        <v>19</v>
      </c>
      <c r="I131" s="4" t="s">
        <v>70</v>
      </c>
      <c r="J131" s="4" t="s">
        <v>21</v>
      </c>
      <c r="K131" s="4" t="s">
        <v>66</v>
      </c>
      <c r="L131" s="4" t="s">
        <v>19</v>
      </c>
      <c r="M131" s="4">
        <v>1085</v>
      </c>
      <c r="N131" s="4">
        <v>11</v>
      </c>
      <c r="O131" s="4" t="s">
        <v>439</v>
      </c>
    </row>
    <row r="132" spans="1:15" ht="44.1" customHeight="1" x14ac:dyDescent="0.3">
      <c r="A132" s="1" t="s">
        <v>440</v>
      </c>
      <c r="B132" s="1" t="s">
        <v>374</v>
      </c>
      <c r="C132" s="6">
        <v>45888</v>
      </c>
      <c r="D132" s="4" t="str">
        <f t="shared" ref="D132:D133" si="49">IF(C132="","",TEXT(C132,"mmmm"))</f>
        <v>August</v>
      </c>
      <c r="E132" s="4">
        <f t="shared" ref="E132:E133" si="50">IF(C132="","",YEAR(C132))</f>
        <v>2025</v>
      </c>
      <c r="F132" s="3" t="s">
        <v>441</v>
      </c>
      <c r="G132" s="4" t="s">
        <v>18</v>
      </c>
      <c r="H132" s="4" t="s">
        <v>19</v>
      </c>
      <c r="I132" s="4" t="s">
        <v>20</v>
      </c>
      <c r="J132" s="4" t="s">
        <v>28</v>
      </c>
      <c r="K132" s="4" t="s">
        <v>66</v>
      </c>
      <c r="L132" s="4" t="s">
        <v>19</v>
      </c>
      <c r="M132" s="4">
        <v>378</v>
      </c>
      <c r="N132" s="4">
        <v>9</v>
      </c>
      <c r="O132" s="4" t="s">
        <v>442</v>
      </c>
    </row>
    <row r="133" spans="1:15" ht="57.6" x14ac:dyDescent="0.3">
      <c r="A133" s="1" t="s">
        <v>443</v>
      </c>
      <c r="B133" s="1" t="s">
        <v>374</v>
      </c>
      <c r="C133" s="6">
        <v>45896</v>
      </c>
      <c r="D133" s="4" t="str">
        <f t="shared" si="49"/>
        <v>August</v>
      </c>
      <c r="E133" s="4">
        <f t="shared" si="50"/>
        <v>2025</v>
      </c>
      <c r="F133" s="3" t="s">
        <v>444</v>
      </c>
      <c r="G133" s="4" t="s">
        <v>18</v>
      </c>
      <c r="H133" s="4" t="s">
        <v>19</v>
      </c>
      <c r="I133" s="4" t="s">
        <v>20</v>
      </c>
      <c r="J133" s="4" t="s">
        <v>21</v>
      </c>
      <c r="K133" s="4" t="s">
        <v>22</v>
      </c>
      <c r="L133" s="4" t="s">
        <v>19</v>
      </c>
      <c r="M133" s="4">
        <v>911</v>
      </c>
      <c r="N133" s="4">
        <v>5</v>
      </c>
      <c r="O133" s="4" t="s">
        <v>445</v>
      </c>
    </row>
    <row r="134" spans="1:15" s="7" customFormat="1" ht="24.6" customHeight="1" x14ac:dyDescent="0.3">
      <c r="A134" s="1" t="s">
        <v>446</v>
      </c>
      <c r="B134" s="1" t="s">
        <v>374</v>
      </c>
      <c r="C134" s="6">
        <v>45546</v>
      </c>
      <c r="D134" s="4" t="str">
        <f t="shared" ref="D134:D143" si="51">IF(C134="","",TEXT(C134,"mmmm"))</f>
        <v>September</v>
      </c>
      <c r="E134" s="4">
        <f t="shared" ref="E134:E143" si="52">IF(C134="","",YEAR(C134))</f>
        <v>2024</v>
      </c>
      <c r="F134" s="3" t="s">
        <v>447</v>
      </c>
      <c r="G134" s="4" t="s">
        <v>18</v>
      </c>
      <c r="H134" s="4" t="s">
        <v>19</v>
      </c>
      <c r="I134" s="4" t="s">
        <v>20</v>
      </c>
      <c r="J134" s="4" t="s">
        <v>20</v>
      </c>
      <c r="K134" s="4" t="s">
        <v>43</v>
      </c>
      <c r="L134" s="4" t="s">
        <v>56</v>
      </c>
      <c r="M134" s="4">
        <v>1774</v>
      </c>
      <c r="N134" s="4">
        <v>13</v>
      </c>
      <c r="O134" s="4" t="s">
        <v>448</v>
      </c>
    </row>
    <row r="135" spans="1:15" ht="43.2" x14ac:dyDescent="0.3">
      <c r="A135" s="1" t="s">
        <v>449</v>
      </c>
      <c r="B135" s="1" t="s">
        <v>374</v>
      </c>
      <c r="C135" s="6">
        <v>45562</v>
      </c>
      <c r="D135" s="4" t="str">
        <f t="shared" si="51"/>
        <v>September</v>
      </c>
      <c r="E135" s="4">
        <f t="shared" si="52"/>
        <v>2024</v>
      </c>
      <c r="F135" s="3" t="s">
        <v>450</v>
      </c>
      <c r="G135" s="4" t="s">
        <v>18</v>
      </c>
      <c r="H135" s="4" t="s">
        <v>19</v>
      </c>
      <c r="I135" s="4" t="s">
        <v>27</v>
      </c>
      <c r="J135" s="4" t="s">
        <v>28</v>
      </c>
      <c r="K135" s="4" t="s">
        <v>29</v>
      </c>
      <c r="L135" s="1" t="s">
        <v>56</v>
      </c>
      <c r="M135" s="1">
        <v>724</v>
      </c>
      <c r="N135" s="1">
        <v>16</v>
      </c>
      <c r="O135" s="4" t="s">
        <v>451</v>
      </c>
    </row>
    <row r="136" spans="1:15" ht="43.2" x14ac:dyDescent="0.3">
      <c r="A136" s="1" t="s">
        <v>452</v>
      </c>
      <c r="B136" s="1" t="s">
        <v>374</v>
      </c>
      <c r="C136" s="6">
        <v>45541</v>
      </c>
      <c r="D136" s="4" t="str">
        <f t="shared" si="51"/>
        <v>September</v>
      </c>
      <c r="E136" s="4">
        <f t="shared" si="52"/>
        <v>2024</v>
      </c>
      <c r="F136" s="3" t="s">
        <v>453</v>
      </c>
      <c r="G136" s="4" t="s">
        <v>18</v>
      </c>
      <c r="H136" s="4" t="s">
        <v>19</v>
      </c>
      <c r="I136" s="4" t="s">
        <v>21</v>
      </c>
      <c r="J136" s="4" t="s">
        <v>20</v>
      </c>
      <c r="K136" s="4" t="s">
        <v>35</v>
      </c>
      <c r="L136" s="4" t="s">
        <v>19</v>
      </c>
      <c r="M136" s="4">
        <v>649</v>
      </c>
      <c r="N136" s="4">
        <v>4</v>
      </c>
      <c r="O136" s="4" t="s">
        <v>454</v>
      </c>
    </row>
    <row r="137" spans="1:15" ht="43.2" x14ac:dyDescent="0.3">
      <c r="A137" s="1" t="s">
        <v>455</v>
      </c>
      <c r="B137" s="1" t="s">
        <v>374</v>
      </c>
      <c r="C137" s="6">
        <v>45570</v>
      </c>
      <c r="D137" s="4" t="str">
        <f t="shared" si="51"/>
        <v>October</v>
      </c>
      <c r="E137" s="4">
        <f t="shared" si="52"/>
        <v>2024</v>
      </c>
      <c r="F137" s="3" t="s">
        <v>456</v>
      </c>
      <c r="G137" s="4" t="s">
        <v>26</v>
      </c>
      <c r="H137" s="4" t="s">
        <v>19</v>
      </c>
      <c r="I137" s="4" t="s">
        <v>60</v>
      </c>
      <c r="J137" s="4" t="s">
        <v>21</v>
      </c>
      <c r="K137" s="4" t="s">
        <v>62</v>
      </c>
      <c r="L137" s="4" t="s">
        <v>19</v>
      </c>
      <c r="M137" s="4">
        <v>2472</v>
      </c>
      <c r="N137" s="4">
        <v>6</v>
      </c>
      <c r="O137" s="4" t="s">
        <v>457</v>
      </c>
    </row>
    <row r="138" spans="1:15" ht="43.2" x14ac:dyDescent="0.3">
      <c r="A138" s="1" t="s">
        <v>458</v>
      </c>
      <c r="B138" s="1" t="s">
        <v>374</v>
      </c>
      <c r="C138" s="6">
        <v>45581</v>
      </c>
      <c r="D138" s="4" t="str">
        <f t="shared" si="51"/>
        <v>October</v>
      </c>
      <c r="E138" s="4">
        <f t="shared" si="52"/>
        <v>2024</v>
      </c>
      <c r="F138" s="3" t="s">
        <v>459</v>
      </c>
      <c r="G138" s="4" t="s">
        <v>26</v>
      </c>
      <c r="H138" s="4" t="s">
        <v>19</v>
      </c>
      <c r="I138" s="4" t="s">
        <v>20</v>
      </c>
      <c r="J138" s="4" t="s">
        <v>34</v>
      </c>
      <c r="K138" s="4" t="s">
        <v>55</v>
      </c>
      <c r="L138" s="4" t="s">
        <v>56</v>
      </c>
      <c r="M138" s="4">
        <v>3008</v>
      </c>
      <c r="N138" s="4">
        <v>9</v>
      </c>
      <c r="O138" s="4" t="s">
        <v>460</v>
      </c>
    </row>
    <row r="139" spans="1:15" ht="43.2" x14ac:dyDescent="0.3">
      <c r="A139" s="1" t="s">
        <v>461</v>
      </c>
      <c r="B139" s="1" t="s">
        <v>374</v>
      </c>
      <c r="C139" s="6">
        <v>45594</v>
      </c>
      <c r="D139" s="4" t="str">
        <f t="shared" si="51"/>
        <v>October</v>
      </c>
      <c r="E139" s="4">
        <f t="shared" si="52"/>
        <v>2024</v>
      </c>
      <c r="F139" s="3" t="s">
        <v>462</v>
      </c>
      <c r="G139" s="4" t="s">
        <v>18</v>
      </c>
      <c r="H139" s="4" t="s">
        <v>19</v>
      </c>
      <c r="I139" s="4" t="s">
        <v>60</v>
      </c>
      <c r="J139" s="4" t="s">
        <v>21</v>
      </c>
      <c r="K139" s="4" t="s">
        <v>62</v>
      </c>
      <c r="L139" s="4" t="s">
        <v>19</v>
      </c>
      <c r="M139" s="4">
        <v>237</v>
      </c>
      <c r="N139" s="4">
        <v>8</v>
      </c>
      <c r="O139" s="4" t="s">
        <v>463</v>
      </c>
    </row>
    <row r="140" spans="1:15" ht="43.2" x14ac:dyDescent="0.3">
      <c r="A140" s="1" t="s">
        <v>464</v>
      </c>
      <c r="B140" s="1" t="s">
        <v>374</v>
      </c>
      <c r="C140" s="6">
        <v>45603</v>
      </c>
      <c r="D140" s="4" t="str">
        <f t="shared" si="51"/>
        <v>November</v>
      </c>
      <c r="E140" s="4">
        <f t="shared" si="52"/>
        <v>2024</v>
      </c>
      <c r="F140" s="3" t="s">
        <v>465</v>
      </c>
      <c r="G140" s="4" t="s">
        <v>18</v>
      </c>
      <c r="H140" s="4" t="s">
        <v>19</v>
      </c>
      <c r="I140" s="4" t="s">
        <v>20</v>
      </c>
      <c r="J140" s="4" t="s">
        <v>101</v>
      </c>
      <c r="K140" s="4" t="s">
        <v>55</v>
      </c>
      <c r="L140" s="4" t="s">
        <v>56</v>
      </c>
      <c r="M140" s="4">
        <v>1375</v>
      </c>
      <c r="N140" s="4">
        <v>25</v>
      </c>
      <c r="O140" s="4" t="s">
        <v>466</v>
      </c>
    </row>
    <row r="141" spans="1:15" ht="43.2" x14ac:dyDescent="0.3">
      <c r="A141" s="1" t="s">
        <v>467</v>
      </c>
      <c r="B141" s="1" t="s">
        <v>374</v>
      </c>
      <c r="C141" s="6">
        <v>45617</v>
      </c>
      <c r="D141" s="4" t="str">
        <f t="shared" si="51"/>
        <v>November</v>
      </c>
      <c r="E141" s="4">
        <f t="shared" si="52"/>
        <v>2024</v>
      </c>
      <c r="F141" s="3" t="s">
        <v>468</v>
      </c>
      <c r="G141" s="4" t="s">
        <v>18</v>
      </c>
      <c r="H141" s="4" t="s">
        <v>19</v>
      </c>
      <c r="I141" s="4" t="s">
        <v>20</v>
      </c>
      <c r="J141" s="4" t="s">
        <v>124</v>
      </c>
      <c r="K141" s="4" t="s">
        <v>22</v>
      </c>
      <c r="L141" s="4" t="s">
        <v>56</v>
      </c>
      <c r="M141" s="4">
        <v>485</v>
      </c>
      <c r="N141" s="4">
        <v>11</v>
      </c>
      <c r="O141" s="4" t="s">
        <v>469</v>
      </c>
    </row>
    <row r="142" spans="1:15" ht="43.2" x14ac:dyDescent="0.3">
      <c r="A142" s="1" t="s">
        <v>470</v>
      </c>
      <c r="B142" s="1" t="s">
        <v>374</v>
      </c>
      <c r="C142" s="6">
        <v>45623</v>
      </c>
      <c r="D142" s="4" t="str">
        <f t="shared" si="51"/>
        <v>November</v>
      </c>
      <c r="E142" s="4">
        <f t="shared" si="52"/>
        <v>2024</v>
      </c>
      <c r="F142" s="3" t="s">
        <v>471</v>
      </c>
      <c r="G142" s="4" t="s">
        <v>47</v>
      </c>
      <c r="H142" s="4" t="s">
        <v>19</v>
      </c>
      <c r="I142" s="4" t="s">
        <v>120</v>
      </c>
      <c r="J142" s="4" t="s">
        <v>28</v>
      </c>
      <c r="K142" s="4" t="s">
        <v>93</v>
      </c>
      <c r="L142" s="4" t="s">
        <v>56</v>
      </c>
      <c r="M142" s="4">
        <v>1087</v>
      </c>
      <c r="N142" s="4">
        <v>12</v>
      </c>
      <c r="O142" s="4" t="s">
        <v>472</v>
      </c>
    </row>
    <row r="143" spans="1:15" ht="57.6" x14ac:dyDescent="0.3">
      <c r="A143" s="1" t="s">
        <v>473</v>
      </c>
      <c r="B143" s="1" t="s">
        <v>374</v>
      </c>
      <c r="C143" s="6">
        <v>45628</v>
      </c>
      <c r="D143" s="4" t="str">
        <f t="shared" si="51"/>
        <v>December</v>
      </c>
      <c r="E143" s="4">
        <f t="shared" si="52"/>
        <v>2024</v>
      </c>
      <c r="F143" s="3" t="s">
        <v>474</v>
      </c>
      <c r="G143" s="4" t="s">
        <v>18</v>
      </c>
      <c r="H143" s="4" t="s">
        <v>19</v>
      </c>
      <c r="I143" s="4" t="s">
        <v>162</v>
      </c>
      <c r="J143" s="4" t="s">
        <v>20</v>
      </c>
      <c r="K143" s="4" t="s">
        <v>62</v>
      </c>
      <c r="L143" s="4" t="s">
        <v>19</v>
      </c>
      <c r="M143" s="4">
        <v>637</v>
      </c>
      <c r="N143" s="4">
        <v>1</v>
      </c>
      <c r="O143" s="4" t="s">
        <v>475</v>
      </c>
    </row>
    <row r="144" spans="1:15" ht="43.2" x14ac:dyDescent="0.3">
      <c r="A144" s="1" t="s">
        <v>476</v>
      </c>
      <c r="B144" s="1" t="s">
        <v>374</v>
      </c>
      <c r="C144" s="6">
        <v>45629</v>
      </c>
      <c r="D144" s="4" t="str">
        <f t="shared" ref="D144" si="53">IF(C144="","",TEXT(C144,"mmmm"))</f>
        <v>December</v>
      </c>
      <c r="E144" s="4">
        <f t="shared" ref="E144" si="54">IF(C144="","",YEAR(C144))</f>
        <v>2024</v>
      </c>
      <c r="F144" s="3" t="s">
        <v>477</v>
      </c>
      <c r="G144" s="4" t="s">
        <v>18</v>
      </c>
      <c r="H144" s="4" t="s">
        <v>19</v>
      </c>
      <c r="I144" s="4" t="s">
        <v>28</v>
      </c>
      <c r="J144" s="4" t="s">
        <v>20</v>
      </c>
      <c r="K144" s="4" t="s">
        <v>43</v>
      </c>
      <c r="L144" s="4" t="s">
        <v>56</v>
      </c>
      <c r="M144" s="4">
        <v>2577</v>
      </c>
      <c r="N144" s="4">
        <v>27</v>
      </c>
      <c r="O144" s="4" t="s">
        <v>478</v>
      </c>
    </row>
    <row r="145" spans="1:15" ht="43.2" x14ac:dyDescent="0.3">
      <c r="A145" s="1" t="s">
        <v>479</v>
      </c>
      <c r="B145" s="1" t="s">
        <v>374</v>
      </c>
      <c r="C145" s="6">
        <v>45631</v>
      </c>
      <c r="D145" s="4" t="str">
        <f t="shared" ref="D145" si="55">IF(C145="","",TEXT(C145,"mmmm"))</f>
        <v>December</v>
      </c>
      <c r="E145" s="4">
        <f t="shared" ref="E145" si="56">IF(C145="","",YEAR(C145))</f>
        <v>2024</v>
      </c>
      <c r="F145" s="3" t="s">
        <v>480</v>
      </c>
      <c r="G145" s="4" t="s">
        <v>26</v>
      </c>
      <c r="H145" s="4" t="s">
        <v>19</v>
      </c>
      <c r="I145" s="4" t="s">
        <v>120</v>
      </c>
      <c r="J145" s="4" t="s">
        <v>28</v>
      </c>
      <c r="K145" s="4" t="s">
        <v>93</v>
      </c>
      <c r="L145" s="4" t="s">
        <v>56</v>
      </c>
      <c r="M145" s="4">
        <v>1105</v>
      </c>
      <c r="N145" s="4">
        <v>15</v>
      </c>
      <c r="O145" s="4" t="s">
        <v>481</v>
      </c>
    </row>
    <row r="146" spans="1:15" s="7" customFormat="1" ht="43.2" x14ac:dyDescent="0.3">
      <c r="A146" s="7" t="s">
        <v>482</v>
      </c>
      <c r="B146" s="7" t="s">
        <v>483</v>
      </c>
      <c r="C146" s="8">
        <v>45666</v>
      </c>
      <c r="D146" s="10" t="str">
        <f t="shared" ref="D146:D179" si="57">IF(C146="","",TEXT(C146,"mmmm"))</f>
        <v>January</v>
      </c>
      <c r="E146" s="10">
        <f t="shared" ref="E146:E179" si="58">IF(C146="","",YEAR(C146))</f>
        <v>2025</v>
      </c>
      <c r="F146" s="9" t="s">
        <v>484</v>
      </c>
      <c r="G146" s="10" t="s">
        <v>47</v>
      </c>
      <c r="H146" s="10" t="s">
        <v>19</v>
      </c>
      <c r="I146" s="10" t="s">
        <v>70</v>
      </c>
      <c r="J146" s="10" t="s">
        <v>21</v>
      </c>
      <c r="K146" s="10" t="s">
        <v>22</v>
      </c>
      <c r="L146" s="10" t="s">
        <v>56</v>
      </c>
      <c r="M146" s="10">
        <v>2514</v>
      </c>
      <c r="N146" s="10">
        <v>9</v>
      </c>
      <c r="O146" s="10" t="s">
        <v>485</v>
      </c>
    </row>
    <row r="147" spans="1:15" ht="57.6" x14ac:dyDescent="0.3">
      <c r="A147" s="1" t="s">
        <v>486</v>
      </c>
      <c r="B147" s="1" t="s">
        <v>483</v>
      </c>
      <c r="C147" s="6">
        <v>45686</v>
      </c>
      <c r="D147" s="4" t="str">
        <f t="shared" si="57"/>
        <v>January</v>
      </c>
      <c r="E147" s="4">
        <f t="shared" si="58"/>
        <v>2025</v>
      </c>
      <c r="F147" s="3" t="s">
        <v>487</v>
      </c>
      <c r="G147" s="4" t="s">
        <v>47</v>
      </c>
      <c r="H147" s="4" t="s">
        <v>19</v>
      </c>
      <c r="I147" s="4" t="s">
        <v>39</v>
      </c>
      <c r="J147" s="4" t="s">
        <v>20</v>
      </c>
      <c r="K147" s="4" t="s">
        <v>29</v>
      </c>
      <c r="L147" s="4" t="s">
        <v>19</v>
      </c>
      <c r="M147" s="4">
        <v>700</v>
      </c>
      <c r="N147" s="4">
        <v>11</v>
      </c>
      <c r="O147" s="4" t="s">
        <v>488</v>
      </c>
    </row>
    <row r="148" spans="1:15" ht="43.2" x14ac:dyDescent="0.3">
      <c r="A148" s="1" t="s">
        <v>489</v>
      </c>
      <c r="B148" s="1" t="s">
        <v>483</v>
      </c>
      <c r="C148" s="6">
        <v>45688</v>
      </c>
      <c r="D148" s="4" t="str">
        <f t="shared" si="57"/>
        <v>January</v>
      </c>
      <c r="E148" s="4">
        <f t="shared" si="58"/>
        <v>2025</v>
      </c>
      <c r="F148" s="3" t="s">
        <v>490</v>
      </c>
      <c r="G148" s="4" t="s">
        <v>18</v>
      </c>
      <c r="H148" s="4" t="s">
        <v>19</v>
      </c>
      <c r="I148" s="4" t="s">
        <v>20</v>
      </c>
      <c r="J148" s="4" t="s">
        <v>39</v>
      </c>
      <c r="K148" s="4" t="s">
        <v>43</v>
      </c>
      <c r="L148" s="4" t="s">
        <v>19</v>
      </c>
      <c r="M148" s="4">
        <v>510</v>
      </c>
      <c r="N148" s="4">
        <v>3</v>
      </c>
      <c r="O148" s="4" t="s">
        <v>491</v>
      </c>
    </row>
    <row r="149" spans="1:15" ht="43.2" x14ac:dyDescent="0.3">
      <c r="A149" s="1" t="s">
        <v>492</v>
      </c>
      <c r="B149" s="1" t="s">
        <v>483</v>
      </c>
      <c r="C149" s="6">
        <v>45692</v>
      </c>
      <c r="D149" s="4" t="str">
        <f t="shared" si="57"/>
        <v>February</v>
      </c>
      <c r="E149" s="4">
        <f t="shared" si="58"/>
        <v>2025</v>
      </c>
      <c r="F149" s="3" t="s">
        <v>493</v>
      </c>
      <c r="G149" s="4" t="s">
        <v>18</v>
      </c>
      <c r="H149" s="4" t="s">
        <v>19</v>
      </c>
      <c r="I149" s="4" t="s">
        <v>20</v>
      </c>
      <c r="J149" s="4" t="s">
        <v>39</v>
      </c>
      <c r="K149" s="4" t="s">
        <v>66</v>
      </c>
      <c r="L149" s="4" t="s">
        <v>19</v>
      </c>
      <c r="M149" s="4">
        <v>242</v>
      </c>
      <c r="N149" s="4">
        <v>1</v>
      </c>
      <c r="O149" s="4" t="s">
        <v>494</v>
      </c>
    </row>
    <row r="150" spans="1:15" ht="43.2" x14ac:dyDescent="0.3">
      <c r="A150" s="1" t="s">
        <v>495</v>
      </c>
      <c r="B150" s="1" t="s">
        <v>483</v>
      </c>
      <c r="C150" s="6">
        <v>45706</v>
      </c>
      <c r="D150" s="4" t="str">
        <f t="shared" si="57"/>
        <v>February</v>
      </c>
      <c r="E150" s="4">
        <f t="shared" si="58"/>
        <v>2025</v>
      </c>
      <c r="F150" s="3" t="s">
        <v>496</v>
      </c>
      <c r="G150" s="4" t="s">
        <v>47</v>
      </c>
      <c r="H150" s="4" t="s">
        <v>19</v>
      </c>
      <c r="I150" s="4" t="s">
        <v>27</v>
      </c>
      <c r="J150" s="4" t="s">
        <v>21</v>
      </c>
      <c r="K150" s="4" t="s">
        <v>29</v>
      </c>
      <c r="L150" s="4" t="s">
        <v>19</v>
      </c>
      <c r="M150" s="4">
        <v>3268</v>
      </c>
      <c r="N150" s="4">
        <v>23</v>
      </c>
      <c r="O150" s="4" t="s">
        <v>497</v>
      </c>
    </row>
    <row r="151" spans="1:15" ht="43.2" x14ac:dyDescent="0.3">
      <c r="A151" s="1" t="s">
        <v>498</v>
      </c>
      <c r="B151" s="1" t="s">
        <v>483</v>
      </c>
      <c r="C151" s="6">
        <v>45710</v>
      </c>
      <c r="D151" s="4" t="str">
        <f t="shared" si="57"/>
        <v>February</v>
      </c>
      <c r="E151" s="4">
        <f t="shared" si="58"/>
        <v>2025</v>
      </c>
      <c r="F151" s="3" t="s">
        <v>499</v>
      </c>
      <c r="G151" s="4" t="s">
        <v>26</v>
      </c>
      <c r="H151" s="4" t="s">
        <v>19</v>
      </c>
      <c r="I151" s="4" t="s">
        <v>20</v>
      </c>
      <c r="J151" s="4" t="s">
        <v>101</v>
      </c>
      <c r="K151" s="4" t="s">
        <v>22</v>
      </c>
      <c r="L151" s="4" t="s">
        <v>19</v>
      </c>
      <c r="M151" s="4">
        <v>1037</v>
      </c>
      <c r="N151" s="4">
        <v>8</v>
      </c>
      <c r="O151" s="4" t="s">
        <v>500</v>
      </c>
    </row>
    <row r="152" spans="1:15" ht="43.2" x14ac:dyDescent="0.3">
      <c r="A152" s="1" t="s">
        <v>501</v>
      </c>
      <c r="B152" s="1" t="s">
        <v>483</v>
      </c>
      <c r="C152" s="6">
        <v>45722</v>
      </c>
      <c r="D152" s="4" t="str">
        <f t="shared" si="57"/>
        <v>March</v>
      </c>
      <c r="E152" s="4">
        <f t="shared" si="58"/>
        <v>2025</v>
      </c>
      <c r="F152" s="3" t="s">
        <v>502</v>
      </c>
      <c r="G152" s="4" t="s">
        <v>47</v>
      </c>
      <c r="H152" s="4" t="s">
        <v>19</v>
      </c>
      <c r="I152" s="4" t="s">
        <v>39</v>
      </c>
      <c r="J152" s="4" t="s">
        <v>28</v>
      </c>
      <c r="K152" s="4" t="s">
        <v>66</v>
      </c>
      <c r="L152" s="4" t="s">
        <v>19</v>
      </c>
      <c r="M152" s="4">
        <v>544</v>
      </c>
      <c r="N152" s="4">
        <v>4</v>
      </c>
      <c r="O152" s="4" t="s">
        <v>503</v>
      </c>
    </row>
    <row r="153" spans="1:15" ht="43.2" x14ac:dyDescent="0.3">
      <c r="A153" s="1" t="s">
        <v>504</v>
      </c>
      <c r="B153" s="1" t="s">
        <v>483</v>
      </c>
      <c r="C153" s="6">
        <v>45728</v>
      </c>
      <c r="D153" s="4" t="str">
        <f t="shared" si="57"/>
        <v>March</v>
      </c>
      <c r="E153" s="4">
        <f t="shared" si="58"/>
        <v>2025</v>
      </c>
      <c r="F153" s="3" t="s">
        <v>505</v>
      </c>
      <c r="G153" s="4" t="s">
        <v>26</v>
      </c>
      <c r="H153" s="4" t="s">
        <v>19</v>
      </c>
      <c r="I153" s="4" t="s">
        <v>27</v>
      </c>
      <c r="J153" s="4" t="s">
        <v>28</v>
      </c>
      <c r="K153" s="4" t="s">
        <v>29</v>
      </c>
      <c r="L153" s="4" t="s">
        <v>19</v>
      </c>
      <c r="M153" s="4">
        <v>2396</v>
      </c>
      <c r="N153" s="4">
        <v>16</v>
      </c>
      <c r="O153" s="4" t="s">
        <v>506</v>
      </c>
    </row>
    <row r="154" spans="1:15" ht="43.2" x14ac:dyDescent="0.3">
      <c r="A154" s="1" t="s">
        <v>507</v>
      </c>
      <c r="B154" s="1" t="s">
        <v>483</v>
      </c>
      <c r="C154" s="6">
        <v>45745</v>
      </c>
      <c r="D154" s="4" t="str">
        <f t="shared" si="57"/>
        <v>March</v>
      </c>
      <c r="E154" s="4">
        <f t="shared" si="58"/>
        <v>2025</v>
      </c>
      <c r="F154" s="3" t="s">
        <v>508</v>
      </c>
      <c r="G154" s="4" t="s">
        <v>26</v>
      </c>
      <c r="H154" s="4" t="s">
        <v>19</v>
      </c>
      <c r="I154" s="4" t="s">
        <v>20</v>
      </c>
      <c r="J154" s="4" t="s">
        <v>21</v>
      </c>
      <c r="K154" s="4" t="s">
        <v>43</v>
      </c>
      <c r="L154" s="4" t="s">
        <v>19</v>
      </c>
      <c r="M154" s="4">
        <v>361</v>
      </c>
      <c r="N154" s="4">
        <v>4</v>
      </c>
      <c r="O154" s="4" t="s">
        <v>509</v>
      </c>
    </row>
    <row r="155" spans="1:15" ht="57.6" x14ac:dyDescent="0.3">
      <c r="A155" s="1" t="s">
        <v>510</v>
      </c>
      <c r="B155" s="1" t="s">
        <v>483</v>
      </c>
      <c r="C155" s="6">
        <v>45750</v>
      </c>
      <c r="D155" s="4" t="str">
        <f t="shared" si="57"/>
        <v>April</v>
      </c>
      <c r="E155" s="4">
        <f t="shared" si="58"/>
        <v>2025</v>
      </c>
      <c r="F155" s="3" t="s">
        <v>511</v>
      </c>
      <c r="G155" s="4" t="s">
        <v>18</v>
      </c>
      <c r="H155" s="4" t="s">
        <v>19</v>
      </c>
      <c r="I155" s="4" t="s">
        <v>28</v>
      </c>
      <c r="J155" s="4" t="s">
        <v>60</v>
      </c>
      <c r="K155" s="4" t="s">
        <v>62</v>
      </c>
      <c r="L155" s="4" t="s">
        <v>19</v>
      </c>
      <c r="M155" s="4">
        <v>240</v>
      </c>
      <c r="N155" s="4">
        <v>3</v>
      </c>
      <c r="O155" s="4" t="s">
        <v>512</v>
      </c>
    </row>
    <row r="156" spans="1:15" ht="43.2" x14ac:dyDescent="0.3">
      <c r="A156" s="1" t="s">
        <v>513</v>
      </c>
      <c r="B156" s="1" t="s">
        <v>483</v>
      </c>
      <c r="C156" s="6">
        <v>45757</v>
      </c>
      <c r="D156" s="4" t="str">
        <f t="shared" si="57"/>
        <v>April</v>
      </c>
      <c r="E156" s="4">
        <f t="shared" si="58"/>
        <v>2025</v>
      </c>
      <c r="F156" s="3" t="s">
        <v>514</v>
      </c>
      <c r="G156" s="4" t="s">
        <v>47</v>
      </c>
      <c r="H156" s="4" t="s">
        <v>19</v>
      </c>
      <c r="I156" s="4" t="s">
        <v>34</v>
      </c>
      <c r="J156" s="4" t="s">
        <v>39</v>
      </c>
      <c r="K156" s="4" t="s">
        <v>29</v>
      </c>
      <c r="L156" s="4" t="s">
        <v>19</v>
      </c>
      <c r="M156" s="4">
        <v>803</v>
      </c>
      <c r="N156" s="4">
        <v>2</v>
      </c>
      <c r="O156" s="4" t="s">
        <v>515</v>
      </c>
    </row>
    <row r="157" spans="1:15" ht="43.2" x14ac:dyDescent="0.3">
      <c r="A157" s="1" t="s">
        <v>516</v>
      </c>
      <c r="B157" s="1" t="s">
        <v>483</v>
      </c>
      <c r="C157" s="6">
        <v>45770</v>
      </c>
      <c r="D157" s="4" t="str">
        <f t="shared" si="57"/>
        <v>April</v>
      </c>
      <c r="E157" s="4">
        <f t="shared" si="58"/>
        <v>2025</v>
      </c>
      <c r="F157" s="3" t="s">
        <v>517</v>
      </c>
      <c r="G157" s="4" t="s">
        <v>26</v>
      </c>
      <c r="H157" s="4" t="s">
        <v>19</v>
      </c>
      <c r="I157" s="4" t="s">
        <v>20</v>
      </c>
      <c r="J157" s="4" t="s">
        <v>28</v>
      </c>
      <c r="K157" s="4" t="s">
        <v>22</v>
      </c>
      <c r="L157" s="4" t="s">
        <v>19</v>
      </c>
      <c r="M157" s="4">
        <v>646</v>
      </c>
      <c r="N157" s="4">
        <v>1</v>
      </c>
      <c r="O157" s="4" t="s">
        <v>518</v>
      </c>
    </row>
    <row r="158" spans="1:15" ht="43.2" x14ac:dyDescent="0.3">
      <c r="A158" s="1" t="s">
        <v>519</v>
      </c>
      <c r="B158" s="1" t="s">
        <v>483</v>
      </c>
      <c r="C158" s="6">
        <v>45782</v>
      </c>
      <c r="D158" s="4" t="str">
        <f t="shared" si="57"/>
        <v>May</v>
      </c>
      <c r="E158" s="4">
        <f t="shared" si="58"/>
        <v>2025</v>
      </c>
      <c r="F158" s="3" t="s">
        <v>520</v>
      </c>
      <c r="G158" s="4" t="s">
        <v>18</v>
      </c>
      <c r="H158" s="4" t="s">
        <v>19</v>
      </c>
      <c r="I158" s="4" t="s">
        <v>20</v>
      </c>
      <c r="J158" s="4" t="s">
        <v>28</v>
      </c>
      <c r="K158" s="4" t="s">
        <v>66</v>
      </c>
      <c r="L158" s="4" t="s">
        <v>19</v>
      </c>
      <c r="M158" s="4">
        <v>353</v>
      </c>
      <c r="N158" s="4">
        <v>6</v>
      </c>
      <c r="O158" s="4" t="s">
        <v>521</v>
      </c>
    </row>
    <row r="159" spans="1:15" ht="43.2" x14ac:dyDescent="0.3">
      <c r="A159" s="1" t="s">
        <v>522</v>
      </c>
      <c r="B159" s="1" t="s">
        <v>483</v>
      </c>
      <c r="C159" s="6">
        <v>45790</v>
      </c>
      <c r="D159" s="4" t="str">
        <f t="shared" si="57"/>
        <v>May</v>
      </c>
      <c r="E159" s="4">
        <f t="shared" si="58"/>
        <v>2025</v>
      </c>
      <c r="F159" s="3" t="s">
        <v>523</v>
      </c>
      <c r="G159" s="4" t="s">
        <v>18</v>
      </c>
      <c r="H159" s="4" t="s">
        <v>19</v>
      </c>
      <c r="I159" s="4" t="s">
        <v>28</v>
      </c>
      <c r="J159" s="4" t="s">
        <v>21</v>
      </c>
      <c r="K159" s="4" t="s">
        <v>66</v>
      </c>
      <c r="L159" s="4" t="s">
        <v>19</v>
      </c>
      <c r="M159" s="4">
        <v>119</v>
      </c>
      <c r="N159" s="4">
        <v>3</v>
      </c>
      <c r="O159" s="4" t="s">
        <v>524</v>
      </c>
    </row>
    <row r="160" spans="1:15" ht="57.6" x14ac:dyDescent="0.3">
      <c r="A160" s="1" t="s">
        <v>525</v>
      </c>
      <c r="B160" s="1" t="s">
        <v>483</v>
      </c>
      <c r="C160" s="6">
        <v>45800</v>
      </c>
      <c r="D160" s="4" t="str">
        <f t="shared" si="57"/>
        <v>May</v>
      </c>
      <c r="E160" s="4">
        <f t="shared" si="58"/>
        <v>2025</v>
      </c>
      <c r="F160" s="3" t="s">
        <v>526</v>
      </c>
      <c r="G160" s="4" t="s">
        <v>18</v>
      </c>
      <c r="H160" s="4" t="s">
        <v>19</v>
      </c>
      <c r="I160" s="4" t="s">
        <v>28</v>
      </c>
      <c r="J160" s="4" t="s">
        <v>39</v>
      </c>
      <c r="K160" s="4" t="s">
        <v>29</v>
      </c>
      <c r="L160" s="4" t="s">
        <v>19</v>
      </c>
      <c r="M160" s="4">
        <v>189</v>
      </c>
      <c r="N160" s="4">
        <v>2</v>
      </c>
      <c r="O160" s="4" t="s">
        <v>527</v>
      </c>
    </row>
    <row r="161" spans="1:15" ht="57.6" x14ac:dyDescent="0.3">
      <c r="A161" s="1" t="s">
        <v>528</v>
      </c>
      <c r="B161" s="1" t="s">
        <v>483</v>
      </c>
      <c r="C161" s="6">
        <v>45813</v>
      </c>
      <c r="D161" s="4" t="str">
        <f t="shared" si="57"/>
        <v>June</v>
      </c>
      <c r="E161" s="4">
        <f t="shared" si="58"/>
        <v>2025</v>
      </c>
      <c r="F161" s="3" t="s">
        <v>529</v>
      </c>
      <c r="G161" s="4" t="s">
        <v>47</v>
      </c>
      <c r="H161" s="4" t="s">
        <v>19</v>
      </c>
      <c r="I161" s="4" t="s">
        <v>20</v>
      </c>
      <c r="J161" s="4" t="s">
        <v>162</v>
      </c>
      <c r="K161" s="4" t="s">
        <v>35</v>
      </c>
      <c r="L161" s="4" t="s">
        <v>19</v>
      </c>
      <c r="M161" s="4" t="s">
        <v>308</v>
      </c>
      <c r="N161" s="4" t="s">
        <v>308</v>
      </c>
      <c r="O161" s="4" t="s">
        <v>530</v>
      </c>
    </row>
    <row r="162" spans="1:15" ht="43.2" x14ac:dyDescent="0.3">
      <c r="A162" s="1" t="s">
        <v>531</v>
      </c>
      <c r="B162" s="1" t="s">
        <v>483</v>
      </c>
      <c r="C162" s="6">
        <v>45818</v>
      </c>
      <c r="D162" s="4" t="str">
        <f t="shared" si="57"/>
        <v>June</v>
      </c>
      <c r="E162" s="4">
        <f t="shared" si="58"/>
        <v>2025</v>
      </c>
      <c r="F162" s="3" t="s">
        <v>532</v>
      </c>
      <c r="G162" s="4" t="s">
        <v>18</v>
      </c>
      <c r="H162" s="4" t="s">
        <v>19</v>
      </c>
      <c r="I162" s="4" t="s">
        <v>20</v>
      </c>
      <c r="J162" s="4" t="s">
        <v>34</v>
      </c>
      <c r="K162" s="4" t="s">
        <v>35</v>
      </c>
      <c r="L162" s="4" t="s">
        <v>56</v>
      </c>
      <c r="M162" s="4">
        <v>683</v>
      </c>
      <c r="N162" s="4">
        <v>14</v>
      </c>
      <c r="O162" s="4" t="s">
        <v>533</v>
      </c>
    </row>
    <row r="163" spans="1:15" ht="43.2" x14ac:dyDescent="0.3">
      <c r="A163" s="1" t="s">
        <v>534</v>
      </c>
      <c r="B163" s="1" t="s">
        <v>483</v>
      </c>
      <c r="C163" s="6">
        <v>45829</v>
      </c>
      <c r="D163" s="4" t="str">
        <f t="shared" si="57"/>
        <v>June</v>
      </c>
      <c r="E163" s="4">
        <f t="shared" si="58"/>
        <v>2025</v>
      </c>
      <c r="F163" s="3" t="s">
        <v>535</v>
      </c>
      <c r="G163" s="4" t="s">
        <v>26</v>
      </c>
      <c r="H163" s="4" t="s">
        <v>19</v>
      </c>
      <c r="I163" s="4" t="s">
        <v>20</v>
      </c>
      <c r="J163" s="4" t="s">
        <v>101</v>
      </c>
      <c r="K163" s="4" t="s">
        <v>22</v>
      </c>
      <c r="L163" s="4" t="s">
        <v>19</v>
      </c>
      <c r="M163" s="4">
        <v>395</v>
      </c>
      <c r="N163" s="4">
        <v>4</v>
      </c>
      <c r="O163" s="4" t="s">
        <v>536</v>
      </c>
    </row>
    <row r="164" spans="1:15" ht="57.6" x14ac:dyDescent="0.3">
      <c r="A164" s="1" t="s">
        <v>537</v>
      </c>
      <c r="B164" s="1" t="s">
        <v>483</v>
      </c>
      <c r="C164" s="6">
        <v>45840</v>
      </c>
      <c r="D164" s="4" t="str">
        <f t="shared" si="57"/>
        <v>July</v>
      </c>
      <c r="E164" s="4">
        <f t="shared" si="58"/>
        <v>2025</v>
      </c>
      <c r="F164" s="3" t="s">
        <v>538</v>
      </c>
      <c r="G164" s="4" t="s">
        <v>18</v>
      </c>
      <c r="H164" s="4" t="s">
        <v>19</v>
      </c>
      <c r="I164" s="4" t="s">
        <v>39</v>
      </c>
      <c r="J164" s="4" t="s">
        <v>28</v>
      </c>
      <c r="K164" s="4" t="s">
        <v>29</v>
      </c>
      <c r="L164" s="4" t="s">
        <v>19</v>
      </c>
      <c r="M164" s="4">
        <v>287</v>
      </c>
      <c r="N164" s="4">
        <v>4</v>
      </c>
      <c r="O164" s="4" t="s">
        <v>539</v>
      </c>
    </row>
    <row r="165" spans="1:15" ht="43.2" x14ac:dyDescent="0.3">
      <c r="A165" s="1" t="s">
        <v>540</v>
      </c>
      <c r="B165" s="1" t="s">
        <v>483</v>
      </c>
      <c r="C165" s="6">
        <v>45856</v>
      </c>
      <c r="D165" s="4" t="str">
        <f t="shared" si="57"/>
        <v>July</v>
      </c>
      <c r="E165" s="4">
        <f t="shared" si="58"/>
        <v>2025</v>
      </c>
      <c r="F165" s="3" t="s">
        <v>541</v>
      </c>
      <c r="G165" s="4" t="s">
        <v>47</v>
      </c>
      <c r="H165" s="4" t="s">
        <v>19</v>
      </c>
      <c r="I165" s="4" t="s">
        <v>70</v>
      </c>
      <c r="J165" s="4" t="s">
        <v>48</v>
      </c>
      <c r="K165" s="4" t="s">
        <v>22</v>
      </c>
      <c r="L165" s="4" t="s">
        <v>56</v>
      </c>
      <c r="M165" s="4">
        <v>3451</v>
      </c>
      <c r="N165" s="4">
        <v>26</v>
      </c>
      <c r="O165" s="4" t="s">
        <v>542</v>
      </c>
    </row>
    <row r="166" spans="1:15" ht="43.2" x14ac:dyDescent="0.3">
      <c r="A166" s="1" t="s">
        <v>543</v>
      </c>
      <c r="B166" s="1" t="s">
        <v>483</v>
      </c>
      <c r="C166" s="6">
        <v>45864</v>
      </c>
      <c r="D166" s="4" t="str">
        <f t="shared" si="57"/>
        <v>July</v>
      </c>
      <c r="E166" s="4">
        <f t="shared" si="58"/>
        <v>2025</v>
      </c>
      <c r="F166" s="3" t="s">
        <v>544</v>
      </c>
      <c r="G166" s="4" t="s">
        <v>26</v>
      </c>
      <c r="H166" s="4" t="s">
        <v>19</v>
      </c>
      <c r="I166" s="4" t="s">
        <v>20</v>
      </c>
      <c r="J166" s="4" t="s">
        <v>39</v>
      </c>
      <c r="K166" s="4" t="s">
        <v>43</v>
      </c>
      <c r="L166" s="4" t="s">
        <v>19</v>
      </c>
      <c r="M166" s="4">
        <v>507</v>
      </c>
      <c r="N166" s="4">
        <v>6</v>
      </c>
      <c r="O166" s="4" t="s">
        <v>545</v>
      </c>
    </row>
    <row r="167" spans="1:15" ht="43.2" x14ac:dyDescent="0.3">
      <c r="A167" s="1" t="s">
        <v>546</v>
      </c>
      <c r="B167" s="1" t="s">
        <v>483</v>
      </c>
      <c r="C167" s="6">
        <v>45884</v>
      </c>
      <c r="D167" s="4" t="str">
        <f t="shared" si="57"/>
        <v>August</v>
      </c>
      <c r="E167" s="4">
        <f t="shared" si="58"/>
        <v>2025</v>
      </c>
      <c r="F167" s="3" t="s">
        <v>547</v>
      </c>
      <c r="G167" s="4" t="s">
        <v>18</v>
      </c>
      <c r="H167" s="4" t="s">
        <v>19</v>
      </c>
      <c r="I167" s="4" t="s">
        <v>20</v>
      </c>
      <c r="J167" s="4" t="s">
        <v>101</v>
      </c>
      <c r="K167" s="4" t="s">
        <v>43</v>
      </c>
      <c r="L167" s="4" t="s">
        <v>19</v>
      </c>
      <c r="M167" s="4">
        <v>286</v>
      </c>
      <c r="N167" s="4">
        <v>5</v>
      </c>
      <c r="O167" s="4" t="s">
        <v>548</v>
      </c>
    </row>
    <row r="168" spans="1:15" ht="86.4" x14ac:dyDescent="0.3">
      <c r="A168" s="1" t="s">
        <v>549</v>
      </c>
      <c r="B168" s="1" t="s">
        <v>483</v>
      </c>
      <c r="C168" s="6">
        <v>45888</v>
      </c>
      <c r="D168" s="4" t="str">
        <f t="shared" si="57"/>
        <v>August</v>
      </c>
      <c r="E168" s="4">
        <f t="shared" si="58"/>
        <v>2025</v>
      </c>
      <c r="F168" s="3" t="s">
        <v>550</v>
      </c>
      <c r="G168" s="4" t="s">
        <v>18</v>
      </c>
      <c r="H168" s="4" t="s">
        <v>19</v>
      </c>
      <c r="I168" s="4" t="s">
        <v>20</v>
      </c>
      <c r="J168" s="4" t="s">
        <v>21</v>
      </c>
      <c r="K168" s="4" t="s">
        <v>35</v>
      </c>
      <c r="L168" s="4" t="s">
        <v>19</v>
      </c>
      <c r="M168" s="4">
        <v>750</v>
      </c>
      <c r="N168" s="4">
        <v>3</v>
      </c>
      <c r="O168" s="4" t="s">
        <v>551</v>
      </c>
    </row>
    <row r="169" spans="1:15" ht="49.5" customHeight="1" x14ac:dyDescent="0.3">
      <c r="A169" s="1" t="s">
        <v>552</v>
      </c>
      <c r="B169" s="1" t="s">
        <v>483</v>
      </c>
      <c r="C169" s="6">
        <v>45894</v>
      </c>
      <c r="D169" s="4" t="str">
        <f t="shared" si="57"/>
        <v>August</v>
      </c>
      <c r="E169" s="4">
        <f t="shared" si="58"/>
        <v>2025</v>
      </c>
      <c r="F169" s="3" t="s">
        <v>553</v>
      </c>
      <c r="G169" s="4" t="s">
        <v>18</v>
      </c>
      <c r="H169" s="4" t="s">
        <v>19</v>
      </c>
      <c r="I169" s="4" t="s">
        <v>101</v>
      </c>
      <c r="J169" s="4" t="s">
        <v>120</v>
      </c>
      <c r="K169" s="4" t="s">
        <v>29</v>
      </c>
      <c r="L169" s="4" t="s">
        <v>19</v>
      </c>
      <c r="M169" s="4">
        <v>247</v>
      </c>
      <c r="N169" s="4">
        <v>4</v>
      </c>
      <c r="O169" s="4" t="s">
        <v>554</v>
      </c>
    </row>
    <row r="170" spans="1:15" ht="57.6" x14ac:dyDescent="0.3">
      <c r="A170" s="1" t="s">
        <v>555</v>
      </c>
      <c r="B170" s="1" t="s">
        <v>483</v>
      </c>
      <c r="C170" s="6">
        <v>45542</v>
      </c>
      <c r="D170" s="4" t="str">
        <f t="shared" si="57"/>
        <v>September</v>
      </c>
      <c r="E170" s="4">
        <f t="shared" si="58"/>
        <v>2024</v>
      </c>
      <c r="F170" s="3" t="s">
        <v>556</v>
      </c>
      <c r="G170" s="4" t="s">
        <v>26</v>
      </c>
      <c r="H170" s="4" t="s">
        <v>19</v>
      </c>
      <c r="I170" s="4" t="s">
        <v>20</v>
      </c>
      <c r="J170" s="4" t="s">
        <v>28</v>
      </c>
      <c r="K170" s="4" t="s">
        <v>43</v>
      </c>
      <c r="L170" s="4" t="s">
        <v>19</v>
      </c>
      <c r="M170" s="4" t="s">
        <v>308</v>
      </c>
      <c r="N170" s="4" t="s">
        <v>308</v>
      </c>
      <c r="O170" s="4" t="s">
        <v>557</v>
      </c>
    </row>
    <row r="171" spans="1:15" ht="43.2" x14ac:dyDescent="0.3">
      <c r="A171" s="1" t="s">
        <v>558</v>
      </c>
      <c r="B171" s="1" t="s">
        <v>483</v>
      </c>
      <c r="C171" s="6">
        <v>45544</v>
      </c>
      <c r="D171" s="4" t="str">
        <f t="shared" si="57"/>
        <v>September</v>
      </c>
      <c r="E171" s="4">
        <f t="shared" si="58"/>
        <v>2024</v>
      </c>
      <c r="F171" s="3" t="s">
        <v>559</v>
      </c>
      <c r="G171" s="4" t="s">
        <v>18</v>
      </c>
      <c r="H171" s="4" t="s">
        <v>19</v>
      </c>
      <c r="I171" s="4" t="s">
        <v>28</v>
      </c>
      <c r="J171" s="4" t="s">
        <v>120</v>
      </c>
      <c r="K171" s="4" t="s">
        <v>66</v>
      </c>
      <c r="L171" s="4" t="s">
        <v>19</v>
      </c>
      <c r="M171" s="4">
        <v>463</v>
      </c>
      <c r="N171" s="4">
        <v>7</v>
      </c>
      <c r="O171" s="4" t="s">
        <v>560</v>
      </c>
    </row>
    <row r="172" spans="1:15" ht="57.6" x14ac:dyDescent="0.3">
      <c r="A172" s="1" t="s">
        <v>561</v>
      </c>
      <c r="B172" s="1" t="s">
        <v>483</v>
      </c>
      <c r="C172" s="6">
        <v>45554</v>
      </c>
      <c r="D172" s="4" t="str">
        <f t="shared" si="57"/>
        <v>September</v>
      </c>
      <c r="E172" s="4">
        <f t="shared" si="58"/>
        <v>2024</v>
      </c>
      <c r="F172" s="3" t="s">
        <v>562</v>
      </c>
      <c r="G172" s="4" t="s">
        <v>26</v>
      </c>
      <c r="H172" s="4" t="s">
        <v>19</v>
      </c>
      <c r="I172" s="4" t="s">
        <v>39</v>
      </c>
      <c r="J172" s="4" t="s">
        <v>120</v>
      </c>
      <c r="K172" s="4" t="s">
        <v>43</v>
      </c>
      <c r="L172" s="4" t="s">
        <v>19</v>
      </c>
      <c r="M172" s="4">
        <v>707</v>
      </c>
      <c r="N172" s="4">
        <v>5</v>
      </c>
      <c r="O172" s="4" t="s">
        <v>563</v>
      </c>
    </row>
    <row r="173" spans="1:15" ht="43.2" x14ac:dyDescent="0.3">
      <c r="A173" s="1" t="s">
        <v>564</v>
      </c>
      <c r="B173" s="1" t="s">
        <v>483</v>
      </c>
      <c r="C173" s="6">
        <v>45569</v>
      </c>
      <c r="D173" s="4" t="str">
        <f t="shared" si="57"/>
        <v>October</v>
      </c>
      <c r="E173" s="4">
        <f t="shared" si="58"/>
        <v>2024</v>
      </c>
      <c r="F173" s="3" t="s">
        <v>565</v>
      </c>
      <c r="G173" s="4" t="s">
        <v>47</v>
      </c>
      <c r="H173" s="4" t="s">
        <v>19</v>
      </c>
      <c r="I173" s="4" t="s">
        <v>27</v>
      </c>
      <c r="J173" s="4" t="s">
        <v>39</v>
      </c>
      <c r="K173" s="4" t="s">
        <v>29</v>
      </c>
      <c r="L173" s="4" t="s">
        <v>56</v>
      </c>
      <c r="M173" s="4">
        <v>1038</v>
      </c>
      <c r="N173" s="4">
        <v>6</v>
      </c>
      <c r="O173" s="4" t="s">
        <v>566</v>
      </c>
    </row>
    <row r="174" spans="1:15" ht="43.2" x14ac:dyDescent="0.3">
      <c r="A174" s="1" t="s">
        <v>567</v>
      </c>
      <c r="B174" s="1" t="s">
        <v>483</v>
      </c>
      <c r="C174" s="6">
        <v>45574</v>
      </c>
      <c r="D174" s="4" t="str">
        <f t="shared" si="57"/>
        <v>October</v>
      </c>
      <c r="E174" s="4">
        <f t="shared" si="58"/>
        <v>2024</v>
      </c>
      <c r="F174" s="3" t="s">
        <v>568</v>
      </c>
      <c r="G174" s="4" t="s">
        <v>47</v>
      </c>
      <c r="H174" s="4" t="s">
        <v>19</v>
      </c>
      <c r="I174" s="4" t="s">
        <v>101</v>
      </c>
      <c r="J174" s="4" t="s">
        <v>124</v>
      </c>
      <c r="K174" s="4" t="s">
        <v>66</v>
      </c>
      <c r="L174" s="4" t="s">
        <v>19</v>
      </c>
      <c r="M174" s="4">
        <v>993</v>
      </c>
      <c r="N174" s="4">
        <v>10</v>
      </c>
      <c r="O174" s="4" t="s">
        <v>569</v>
      </c>
    </row>
    <row r="175" spans="1:15" ht="57.6" x14ac:dyDescent="0.3">
      <c r="A175" s="1" t="s">
        <v>570</v>
      </c>
      <c r="B175" s="1" t="s">
        <v>483</v>
      </c>
      <c r="C175" s="6">
        <v>45586</v>
      </c>
      <c r="D175" s="4" t="str">
        <f t="shared" si="57"/>
        <v>October</v>
      </c>
      <c r="E175" s="4">
        <f t="shared" si="58"/>
        <v>2024</v>
      </c>
      <c r="F175" s="3" t="s">
        <v>571</v>
      </c>
      <c r="G175" s="4" t="s">
        <v>18</v>
      </c>
      <c r="H175" s="4" t="s">
        <v>19</v>
      </c>
      <c r="I175" s="4" t="s">
        <v>28</v>
      </c>
      <c r="J175" s="4" t="s">
        <v>20</v>
      </c>
      <c r="K175" s="4" t="s">
        <v>66</v>
      </c>
      <c r="L175" s="4" t="s">
        <v>19</v>
      </c>
      <c r="M175" s="4">
        <v>343</v>
      </c>
      <c r="N175" s="4">
        <v>4</v>
      </c>
      <c r="O175" s="4" t="s">
        <v>572</v>
      </c>
    </row>
    <row r="176" spans="1:15" ht="43.2" x14ac:dyDescent="0.3">
      <c r="A176" s="1" t="s">
        <v>573</v>
      </c>
      <c r="B176" s="1" t="s">
        <v>483</v>
      </c>
      <c r="C176" s="6">
        <v>45608</v>
      </c>
      <c r="D176" s="4" t="str">
        <f t="shared" si="57"/>
        <v>November</v>
      </c>
      <c r="E176" s="4">
        <f t="shared" si="58"/>
        <v>2024</v>
      </c>
      <c r="F176" s="3" t="s">
        <v>574</v>
      </c>
      <c r="G176" s="4" t="s">
        <v>18</v>
      </c>
      <c r="H176" s="4" t="s">
        <v>19</v>
      </c>
      <c r="I176" s="4" t="s">
        <v>60</v>
      </c>
      <c r="J176" s="4" t="s">
        <v>34</v>
      </c>
      <c r="K176" s="4" t="s">
        <v>66</v>
      </c>
      <c r="L176" s="4" t="s">
        <v>19</v>
      </c>
      <c r="M176" s="4">
        <v>660</v>
      </c>
      <c r="N176" s="4">
        <v>11</v>
      </c>
      <c r="O176" s="4" t="s">
        <v>575</v>
      </c>
    </row>
    <row r="177" spans="1:15" ht="43.2" x14ac:dyDescent="0.3">
      <c r="A177" s="1" t="s">
        <v>576</v>
      </c>
      <c r="B177" s="1" t="s">
        <v>483</v>
      </c>
      <c r="C177" s="6">
        <v>45615</v>
      </c>
      <c r="D177" s="4" t="str">
        <f t="shared" si="57"/>
        <v>November</v>
      </c>
      <c r="E177" s="4">
        <f t="shared" si="58"/>
        <v>2024</v>
      </c>
      <c r="F177" s="3" t="s">
        <v>577</v>
      </c>
      <c r="G177" s="4" t="s">
        <v>47</v>
      </c>
      <c r="H177" s="4" t="s">
        <v>19</v>
      </c>
      <c r="I177" s="4" t="s">
        <v>27</v>
      </c>
      <c r="J177" s="4" t="s">
        <v>39</v>
      </c>
      <c r="K177" s="4" t="s">
        <v>29</v>
      </c>
      <c r="L177" s="4" t="s">
        <v>56</v>
      </c>
      <c r="M177" s="4">
        <v>4466</v>
      </c>
      <c r="N177" s="4">
        <v>17</v>
      </c>
      <c r="O177" s="4" t="s">
        <v>578</v>
      </c>
    </row>
    <row r="178" spans="1:15" ht="43.2" x14ac:dyDescent="0.3">
      <c r="A178" s="1" t="s">
        <v>579</v>
      </c>
      <c r="B178" s="1" t="s">
        <v>483</v>
      </c>
      <c r="C178" s="6">
        <v>45622</v>
      </c>
      <c r="D178" s="4" t="str">
        <f t="shared" ref="D178" si="59">IF(C178="","",TEXT(C178,"mmmm"))</f>
        <v>November</v>
      </c>
      <c r="E178" s="4">
        <f t="shared" ref="E178" si="60">IF(C178="","",YEAR(C178))</f>
        <v>2024</v>
      </c>
      <c r="F178" s="3" t="s">
        <v>580</v>
      </c>
      <c r="G178" s="4" t="s">
        <v>26</v>
      </c>
      <c r="H178" s="4" t="s">
        <v>19</v>
      </c>
      <c r="I178" s="4" t="s">
        <v>27</v>
      </c>
      <c r="J178" s="4" t="s">
        <v>20</v>
      </c>
      <c r="K178" s="4" t="s">
        <v>43</v>
      </c>
      <c r="L178" s="4" t="s">
        <v>19</v>
      </c>
      <c r="M178" s="4">
        <v>218</v>
      </c>
      <c r="N178" s="4">
        <v>2</v>
      </c>
      <c r="O178" s="4" t="s">
        <v>581</v>
      </c>
    </row>
    <row r="179" spans="1:15" ht="43.2" x14ac:dyDescent="0.3">
      <c r="A179" s="1" t="s">
        <v>582</v>
      </c>
      <c r="B179" s="1" t="s">
        <v>483</v>
      </c>
      <c r="C179" s="6">
        <v>45629</v>
      </c>
      <c r="D179" s="4" t="str">
        <f t="shared" si="57"/>
        <v>December</v>
      </c>
      <c r="E179" s="4">
        <f t="shared" si="58"/>
        <v>2024</v>
      </c>
      <c r="F179" s="3" t="s">
        <v>583</v>
      </c>
      <c r="G179" s="4" t="s">
        <v>18</v>
      </c>
      <c r="H179" s="4" t="s">
        <v>19</v>
      </c>
      <c r="I179" s="4" t="s">
        <v>60</v>
      </c>
      <c r="J179" s="4" t="s">
        <v>28</v>
      </c>
      <c r="K179" s="4" t="s">
        <v>66</v>
      </c>
      <c r="L179" s="4" t="s">
        <v>19</v>
      </c>
      <c r="M179" s="4">
        <v>804</v>
      </c>
      <c r="N179" s="4">
        <v>7</v>
      </c>
      <c r="O179" s="4" t="s">
        <v>584</v>
      </c>
    </row>
    <row r="180" spans="1:15" ht="43.2" x14ac:dyDescent="0.3">
      <c r="A180" s="1" t="s">
        <v>585</v>
      </c>
      <c r="B180" s="1" t="s">
        <v>483</v>
      </c>
      <c r="C180" s="6">
        <v>45642</v>
      </c>
      <c r="D180" s="4" t="str">
        <f t="shared" ref="D180:D181" si="61">IF(C180="","",TEXT(C180,"mmmm"))</f>
        <v>December</v>
      </c>
      <c r="E180" s="4">
        <f t="shared" ref="E180:E181" si="62">IF(C180="","",YEAR(C180))</f>
        <v>2024</v>
      </c>
      <c r="F180" s="3" t="s">
        <v>586</v>
      </c>
      <c r="G180" s="4" t="s">
        <v>26</v>
      </c>
      <c r="H180" s="4" t="s">
        <v>19</v>
      </c>
      <c r="I180" s="4" t="s">
        <v>27</v>
      </c>
      <c r="J180" s="4" t="s">
        <v>39</v>
      </c>
      <c r="K180" s="4" t="s">
        <v>29</v>
      </c>
      <c r="L180" s="4" t="s">
        <v>19</v>
      </c>
      <c r="M180" s="4">
        <v>1602</v>
      </c>
      <c r="N180" s="4">
        <v>3</v>
      </c>
      <c r="O180" s="4" t="s">
        <v>587</v>
      </c>
    </row>
    <row r="181" spans="1:15" ht="86.4" x14ac:dyDescent="0.3">
      <c r="A181" s="1" t="s">
        <v>588</v>
      </c>
      <c r="B181" s="1" t="s">
        <v>483</v>
      </c>
      <c r="C181" s="6">
        <v>45643</v>
      </c>
      <c r="D181" s="4" t="str">
        <f t="shared" si="61"/>
        <v>December</v>
      </c>
      <c r="E181" s="4">
        <f t="shared" si="62"/>
        <v>2024</v>
      </c>
      <c r="F181" s="3" t="s">
        <v>589</v>
      </c>
      <c r="G181" s="4" t="s">
        <v>18</v>
      </c>
      <c r="H181" s="4" t="s">
        <v>19</v>
      </c>
      <c r="I181" s="4" t="s">
        <v>28</v>
      </c>
      <c r="J181" s="4" t="s">
        <v>60</v>
      </c>
      <c r="K181" s="4" t="s">
        <v>66</v>
      </c>
      <c r="L181" s="4" t="s">
        <v>19</v>
      </c>
      <c r="M181" s="4">
        <v>485</v>
      </c>
      <c r="N181" s="4">
        <v>37</v>
      </c>
      <c r="O181" s="4" t="s">
        <v>590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election activeCell="J12" sqref="J12"/>
    </sheetView>
  </sheetViews>
  <sheetFormatPr defaultRowHeight="14.4" x14ac:dyDescent="0.3"/>
  <cols>
    <col min="1" max="1" width="30.6640625" customWidth="1"/>
    <col min="2" max="2" width="14.5546875" customWidth="1"/>
    <col min="3" max="3" width="9" customWidth="1"/>
    <col min="4" max="4" width="28.44140625" customWidth="1"/>
    <col min="5" max="5" width="25.109375" customWidth="1"/>
    <col min="6" max="6" width="24.6640625" customWidth="1"/>
  </cols>
  <sheetData>
    <row r="1" spans="1:5" x14ac:dyDescent="0.3">
      <c r="A1" t="s">
        <v>16</v>
      </c>
      <c r="B1" t="s">
        <v>26</v>
      </c>
      <c r="C1" t="s">
        <v>19</v>
      </c>
      <c r="D1" t="s">
        <v>28</v>
      </c>
      <c r="E1" t="s">
        <v>93</v>
      </c>
    </row>
    <row r="2" spans="1:5" x14ac:dyDescent="0.3">
      <c r="A2" t="s">
        <v>154</v>
      </c>
      <c r="B2" t="s">
        <v>47</v>
      </c>
      <c r="C2" t="s">
        <v>56</v>
      </c>
      <c r="D2" t="s">
        <v>60</v>
      </c>
      <c r="E2" t="s">
        <v>66</v>
      </c>
    </row>
    <row r="3" spans="1:5" x14ac:dyDescent="0.3">
      <c r="A3" t="s">
        <v>264</v>
      </c>
      <c r="B3" t="s">
        <v>18</v>
      </c>
      <c r="D3" t="s">
        <v>20</v>
      </c>
      <c r="E3" t="s">
        <v>22</v>
      </c>
    </row>
    <row r="4" spans="1:5" x14ac:dyDescent="0.3">
      <c r="A4" t="s">
        <v>374</v>
      </c>
      <c r="B4" t="s">
        <v>591</v>
      </c>
      <c r="D4" t="s">
        <v>21</v>
      </c>
      <c r="E4" t="s">
        <v>43</v>
      </c>
    </row>
    <row r="5" spans="1:5" x14ac:dyDescent="0.3">
      <c r="A5" t="s">
        <v>483</v>
      </c>
      <c r="D5" s="26" t="s">
        <v>120</v>
      </c>
      <c r="E5" t="s">
        <v>29</v>
      </c>
    </row>
    <row r="6" spans="1:5" x14ac:dyDescent="0.3">
      <c r="D6" t="s">
        <v>101</v>
      </c>
      <c r="E6" t="s">
        <v>35</v>
      </c>
    </row>
    <row r="7" spans="1:5" x14ac:dyDescent="0.3">
      <c r="D7" s="26" t="s">
        <v>39</v>
      </c>
      <c r="E7" t="s">
        <v>62</v>
      </c>
    </row>
    <row r="8" spans="1:5" x14ac:dyDescent="0.3">
      <c r="D8" s="26" t="s">
        <v>61</v>
      </c>
      <c r="E8" t="s">
        <v>55</v>
      </c>
    </row>
    <row r="9" spans="1:5" x14ac:dyDescent="0.3">
      <c r="D9" s="26" t="s">
        <v>70</v>
      </c>
    </row>
    <row r="10" spans="1:5" x14ac:dyDescent="0.3">
      <c r="D10" s="26" t="s">
        <v>48</v>
      </c>
    </row>
    <row r="11" spans="1:5" x14ac:dyDescent="0.3">
      <c r="D11" s="26" t="s">
        <v>124</v>
      </c>
    </row>
    <row r="12" spans="1:5" x14ac:dyDescent="0.3">
      <c r="D12" s="26" t="s">
        <v>162</v>
      </c>
    </row>
    <row r="13" spans="1:5" x14ac:dyDescent="0.3">
      <c r="D13" s="26" t="s">
        <v>34</v>
      </c>
    </row>
    <row r="14" spans="1:5" x14ac:dyDescent="0.3">
      <c r="D14" s="26" t="s">
        <v>27</v>
      </c>
    </row>
    <row r="15" spans="1:5" x14ac:dyDescent="0.3">
      <c r="D15" s="26"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81"/>
  <sheetViews>
    <sheetView topLeftCell="A2" zoomScale="34" zoomScaleNormal="34" workbookViewId="0"/>
  </sheetViews>
  <sheetFormatPr defaultRowHeight="14.4" x14ac:dyDescent="0.3"/>
  <cols>
    <col min="1" max="1" width="12" customWidth="1"/>
    <col min="2" max="2" width="30" customWidth="1"/>
    <col min="3" max="3" width="13" customWidth="1"/>
    <col min="4" max="5" width="12" customWidth="1"/>
    <col min="6" max="6" width="27" customWidth="1"/>
    <col min="7" max="8" width="18" customWidth="1"/>
    <col min="9" max="10" width="28" customWidth="1"/>
    <col min="11" max="11" width="24" customWidth="1"/>
    <col min="12" max="12" width="13" customWidth="1"/>
    <col min="13" max="14" width="11" customWidth="1"/>
    <col min="15" max="15" width="45" customWidth="1"/>
    <col min="16" max="18" width="27" customWidth="1"/>
    <col min="19" max="21" width="18" customWidth="1"/>
    <col min="22" max="22" width="34" customWidth="1"/>
  </cols>
  <sheetData>
    <row r="1" spans="1:22" ht="19.2" customHeight="1"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592</v>
      </c>
      <c r="Q1" s="14" t="s">
        <v>593</v>
      </c>
      <c r="R1" s="14" t="s">
        <v>594</v>
      </c>
      <c r="S1" s="14" t="s">
        <v>595</v>
      </c>
      <c r="T1" s="14" t="s">
        <v>596</v>
      </c>
      <c r="U1" s="14" t="s">
        <v>597</v>
      </c>
      <c r="V1" s="14" t="s">
        <v>598</v>
      </c>
    </row>
    <row r="2" spans="1:22" ht="19.2" customHeight="1" x14ac:dyDescent="0.3">
      <c r="A2" s="15" t="s">
        <v>15</v>
      </c>
      <c r="B2" s="15" t="s">
        <v>16</v>
      </c>
      <c r="C2" s="16">
        <v>45677</v>
      </c>
      <c r="D2" s="15" t="str">
        <f>IF(C2="","",TEXT(C2,"mmmm"))</f>
        <v>January</v>
      </c>
      <c r="E2" s="15">
        <f>IF(C2="","",YEAR(C2))</f>
        <v>2025</v>
      </c>
      <c r="F2" s="15" t="s">
        <v>17</v>
      </c>
      <c r="G2" s="15" t="s">
        <v>18</v>
      </c>
      <c r="H2" s="15" t="s">
        <v>19</v>
      </c>
      <c r="I2" s="15" t="s">
        <v>20</v>
      </c>
      <c r="J2" s="15" t="s">
        <v>21</v>
      </c>
      <c r="K2" s="15" t="s">
        <v>22</v>
      </c>
      <c r="L2" s="15" t="s">
        <v>19</v>
      </c>
      <c r="M2" s="17">
        <v>574</v>
      </c>
      <c r="N2" s="17">
        <v>17</v>
      </c>
      <c r="O2" s="15" t="s">
        <v>23</v>
      </c>
      <c r="P2" s="15" t="str">
        <f t="shared" ref="P2:P33" si="0">IF(OR(I2="Student Experience",I2="Campus Life",I2="Campus Facilities",I2="Student Clubs &amp; Organizations",I2="Events",I2="Student Support Services",I2="Diversity &amp; Inclusion",I2="International Students"),"Student Experience &amp; Campus",IF(OR(I2="Academic Programs",I2="Admissions",I2="Scholarships &amp; Financial Aid"),"Academic &amp; Admissions",IF(OR(I2="Career Opportunities",I2="Alumni Success"),"Career &amp; Alumni",IF(I2="Research &amp; Innovation","Research &amp; Innovation",IF(I2="Rankings &amp; Achievements","Institutional Reputation","Other")))))</f>
        <v>Student Experience &amp; Campus</v>
      </c>
      <c r="Q2" s="15" t="str">
        <f t="shared" ref="Q2:Q33" si="1">IF(OR(J2="Student Experience",J2="Campus Life",J2="Campus Facilities",J2="Student Clubs &amp; Organizations",J2="Events",J2="Student Support Services",J2="Diversity &amp; Inclusion",J2="International Students"),"Student Experience &amp; Campus",IF(OR(J2="Academic Programs",J2="Admissions",J2="Scholarships &amp; Financial Aid"),"Academic &amp; Admissions",IF(OR(J2="Career Opportunities",J2="Alumni Success"),"Career &amp; Alumni",IF(J2="Research &amp; Innovation","Research &amp; Innovation",IF(J2="Rankings &amp; Achievements","Institutional Reputation","Other")))))</f>
        <v>Student Experience &amp; Campus</v>
      </c>
      <c r="R2" s="15" t="str">
        <f t="shared" ref="R2:R33" si="2">IF(K2="Informational","Informational",IF(OR(K2="Promotional",K2="Call-to-Action"),"Promotional/Conversion",IF(K2="Reputation Building","Reputation-focused","Engagement/Relationship")))</f>
        <v>Engagement/Relationship</v>
      </c>
      <c r="S2" s="15" t="str">
        <f t="shared" ref="S2:S33" si="3">IF(COUNTIF($A$2:$A$181,A2)&gt;1,"Duplicate","OK")</f>
        <v>OK</v>
      </c>
      <c r="T2" s="15" t="str">
        <f t="shared" ref="T2:T33" si="4">IF(COUNTIF($F$2:$F$181,F2)&gt;1,"Duplicate","OK")</f>
        <v>OK</v>
      </c>
      <c r="U2" s="15" t="str">
        <f t="shared" ref="U2:U33" si="5">IF(AND(TEXT(C2,"mmmm")=D2,YEAR(C2)=E2),"OK","Mismatch")</f>
        <v>OK</v>
      </c>
      <c r="V2" s="15" t="str">
        <f t="shared" ref="V2:V33" si="6">IF(OR(M2="NA",N2="NA"),"Likes/comments unavailable",IF(I2=J2,"Primary and secondary themes identical","OK"))</f>
        <v>OK</v>
      </c>
    </row>
    <row r="3" spans="1:22" ht="72" x14ac:dyDescent="0.3">
      <c r="A3" s="15" t="s">
        <v>24</v>
      </c>
      <c r="B3" s="15" t="s">
        <v>16</v>
      </c>
      <c r="C3" s="16">
        <v>45684</v>
      </c>
      <c r="D3" s="15" t="s">
        <v>599</v>
      </c>
      <c r="E3" s="15">
        <f>IF(C3="","",YEAR(C3))</f>
        <v>2025</v>
      </c>
      <c r="F3" s="15" t="s">
        <v>25</v>
      </c>
      <c r="G3" s="15" t="s">
        <v>26</v>
      </c>
      <c r="H3" s="15" t="s">
        <v>19</v>
      </c>
      <c r="I3" s="15" t="s">
        <v>27</v>
      </c>
      <c r="J3" s="15" t="s">
        <v>28</v>
      </c>
      <c r="K3" s="15" t="s">
        <v>29</v>
      </c>
      <c r="L3" s="15" t="s">
        <v>19</v>
      </c>
      <c r="M3" s="17">
        <v>1513</v>
      </c>
      <c r="N3" s="17">
        <v>17</v>
      </c>
      <c r="O3" s="15" t="s">
        <v>30</v>
      </c>
      <c r="P3" s="15" t="str">
        <f t="shared" si="0"/>
        <v>Institutional Reputation</v>
      </c>
      <c r="Q3" s="15" t="str">
        <f t="shared" si="1"/>
        <v>Academic &amp; Admissions</v>
      </c>
      <c r="R3" s="15" t="str">
        <f t="shared" si="2"/>
        <v>Reputation-focused</v>
      </c>
      <c r="S3" s="15" t="str">
        <f t="shared" si="3"/>
        <v>OK</v>
      </c>
      <c r="T3" s="15" t="str">
        <f t="shared" si="4"/>
        <v>OK</v>
      </c>
      <c r="U3" s="15" t="str">
        <f t="shared" si="5"/>
        <v>OK</v>
      </c>
      <c r="V3" s="15" t="str">
        <f t="shared" si="6"/>
        <v>OK</v>
      </c>
    </row>
    <row r="4" spans="1:22" ht="72" x14ac:dyDescent="0.3">
      <c r="A4" s="15" t="s">
        <v>31</v>
      </c>
      <c r="B4" s="15" t="s">
        <v>16</v>
      </c>
      <c r="C4" s="16">
        <v>45687</v>
      </c>
      <c r="D4" s="15" t="s">
        <v>599</v>
      </c>
      <c r="E4" s="15">
        <v>2025</v>
      </c>
      <c r="F4" s="15" t="s">
        <v>32</v>
      </c>
      <c r="G4" s="15" t="s">
        <v>18</v>
      </c>
      <c r="H4" s="15" t="s">
        <v>19</v>
      </c>
      <c r="I4" s="15" t="s">
        <v>33</v>
      </c>
      <c r="J4" s="15" t="s">
        <v>34</v>
      </c>
      <c r="K4" s="15" t="s">
        <v>35</v>
      </c>
      <c r="L4" s="15" t="s">
        <v>19</v>
      </c>
      <c r="M4" s="17">
        <v>248</v>
      </c>
      <c r="N4" s="17">
        <v>3</v>
      </c>
      <c r="O4" s="15" t="s">
        <v>36</v>
      </c>
      <c r="P4" s="15" t="str">
        <f t="shared" si="0"/>
        <v>Career &amp; Alumni</v>
      </c>
      <c r="Q4" s="15" t="str">
        <f t="shared" si="1"/>
        <v>Student Experience &amp; Campus</v>
      </c>
      <c r="R4" s="15" t="str">
        <f t="shared" si="2"/>
        <v>Engagement/Relationship</v>
      </c>
      <c r="S4" s="15" t="str">
        <f t="shared" si="3"/>
        <v>OK</v>
      </c>
      <c r="T4" s="15" t="str">
        <f t="shared" si="4"/>
        <v>OK</v>
      </c>
      <c r="U4" s="15" t="str">
        <f t="shared" si="5"/>
        <v>OK</v>
      </c>
      <c r="V4" s="15" t="str">
        <f t="shared" si="6"/>
        <v>OK</v>
      </c>
    </row>
    <row r="5" spans="1:22" ht="72" x14ac:dyDescent="0.3">
      <c r="A5" s="15" t="s">
        <v>37</v>
      </c>
      <c r="B5" s="15" t="s">
        <v>16</v>
      </c>
      <c r="C5" s="16">
        <v>45693</v>
      </c>
      <c r="D5" s="15" t="s">
        <v>600</v>
      </c>
      <c r="E5" s="15">
        <v>2025</v>
      </c>
      <c r="F5" s="15" t="s">
        <v>38</v>
      </c>
      <c r="G5" s="15" t="s">
        <v>26</v>
      </c>
      <c r="H5" s="15" t="s">
        <v>19</v>
      </c>
      <c r="I5" s="15" t="s">
        <v>39</v>
      </c>
      <c r="J5" s="15" t="s">
        <v>27</v>
      </c>
      <c r="K5" s="15" t="s">
        <v>29</v>
      </c>
      <c r="L5" s="15" t="s">
        <v>19</v>
      </c>
      <c r="M5" s="17">
        <v>1031</v>
      </c>
      <c r="N5" s="17">
        <v>16</v>
      </c>
      <c r="O5" s="15" t="s">
        <v>40</v>
      </c>
      <c r="P5" s="15" t="str">
        <f t="shared" si="0"/>
        <v>Research &amp; Innovation</v>
      </c>
      <c r="Q5" s="15" t="str">
        <f t="shared" si="1"/>
        <v>Institutional Reputation</v>
      </c>
      <c r="R5" s="15" t="str">
        <f t="shared" si="2"/>
        <v>Reputation-focused</v>
      </c>
      <c r="S5" s="15" t="str">
        <f t="shared" si="3"/>
        <v>OK</v>
      </c>
      <c r="T5" s="15" t="str">
        <f t="shared" si="4"/>
        <v>OK</v>
      </c>
      <c r="U5" s="15" t="str">
        <f t="shared" si="5"/>
        <v>OK</v>
      </c>
      <c r="V5" s="15" t="str">
        <f t="shared" si="6"/>
        <v>OK</v>
      </c>
    </row>
    <row r="6" spans="1:22" ht="57.6" x14ac:dyDescent="0.3">
      <c r="A6" s="15" t="s">
        <v>41</v>
      </c>
      <c r="B6" s="15" t="s">
        <v>16</v>
      </c>
      <c r="C6" s="16">
        <v>45699</v>
      </c>
      <c r="D6" s="15" t="s">
        <v>600</v>
      </c>
      <c r="E6" s="15">
        <v>2025</v>
      </c>
      <c r="F6" s="15" t="s">
        <v>42</v>
      </c>
      <c r="G6" s="15" t="s">
        <v>18</v>
      </c>
      <c r="H6" s="15" t="s">
        <v>19</v>
      </c>
      <c r="I6" s="15" t="s">
        <v>20</v>
      </c>
      <c r="J6" s="15" t="s">
        <v>21</v>
      </c>
      <c r="K6" s="15" t="s">
        <v>43</v>
      </c>
      <c r="L6" s="15" t="s">
        <v>19</v>
      </c>
      <c r="M6" s="17">
        <v>2628</v>
      </c>
      <c r="N6" s="17">
        <v>33</v>
      </c>
      <c r="O6" s="15" t="s">
        <v>44</v>
      </c>
      <c r="P6" s="15" t="str">
        <f t="shared" si="0"/>
        <v>Student Experience &amp; Campus</v>
      </c>
      <c r="Q6" s="15" t="str">
        <f t="shared" si="1"/>
        <v>Student Experience &amp; Campus</v>
      </c>
      <c r="R6" s="15" t="str">
        <f t="shared" si="2"/>
        <v>Engagement/Relationship</v>
      </c>
      <c r="S6" s="15" t="str">
        <f t="shared" si="3"/>
        <v>OK</v>
      </c>
      <c r="T6" s="15" t="str">
        <f t="shared" si="4"/>
        <v>OK</v>
      </c>
      <c r="U6" s="15" t="str">
        <f t="shared" si="5"/>
        <v>OK</v>
      </c>
      <c r="V6" s="15" t="str">
        <f t="shared" si="6"/>
        <v>OK</v>
      </c>
    </row>
    <row r="7" spans="1:22" ht="100.8" x14ac:dyDescent="0.3">
      <c r="A7" s="15" t="s">
        <v>45</v>
      </c>
      <c r="B7" s="15" t="s">
        <v>16</v>
      </c>
      <c r="C7" s="16">
        <v>45702</v>
      </c>
      <c r="D7" s="15" t="s">
        <v>600</v>
      </c>
      <c r="E7" s="15">
        <v>2025</v>
      </c>
      <c r="F7" s="15" t="s">
        <v>46</v>
      </c>
      <c r="G7" s="15" t="s">
        <v>47</v>
      </c>
      <c r="H7" s="15" t="s">
        <v>19</v>
      </c>
      <c r="I7" s="15" t="s">
        <v>48</v>
      </c>
      <c r="J7" s="15" t="s">
        <v>39</v>
      </c>
      <c r="K7" s="15" t="s">
        <v>22</v>
      </c>
      <c r="L7" s="15" t="s">
        <v>19</v>
      </c>
      <c r="M7" s="17">
        <v>1516</v>
      </c>
      <c r="N7" s="17">
        <v>9</v>
      </c>
      <c r="O7" s="15" t="s">
        <v>49</v>
      </c>
      <c r="P7" s="15" t="str">
        <f t="shared" si="0"/>
        <v>Student Experience &amp; Campus</v>
      </c>
      <c r="Q7" s="15" t="str">
        <f t="shared" si="1"/>
        <v>Research &amp; Innovation</v>
      </c>
      <c r="R7" s="15" t="str">
        <f t="shared" si="2"/>
        <v>Engagement/Relationship</v>
      </c>
      <c r="S7" s="15" t="str">
        <f t="shared" si="3"/>
        <v>OK</v>
      </c>
      <c r="T7" s="15" t="str">
        <f t="shared" si="4"/>
        <v>OK</v>
      </c>
      <c r="U7" s="15" t="str">
        <f t="shared" si="5"/>
        <v>OK</v>
      </c>
      <c r="V7" s="15" t="str">
        <f t="shared" si="6"/>
        <v>OK</v>
      </c>
    </row>
    <row r="8" spans="1:22" ht="72" x14ac:dyDescent="0.3">
      <c r="A8" s="15" t="s">
        <v>50</v>
      </c>
      <c r="B8" s="15" t="s">
        <v>16</v>
      </c>
      <c r="C8" s="16">
        <v>45729</v>
      </c>
      <c r="D8" s="15" t="s">
        <v>601</v>
      </c>
      <c r="E8" s="15">
        <v>2025</v>
      </c>
      <c r="F8" s="15" t="s">
        <v>51</v>
      </c>
      <c r="G8" s="15" t="s">
        <v>18</v>
      </c>
      <c r="H8" s="15" t="s">
        <v>19</v>
      </c>
      <c r="I8" s="15" t="s">
        <v>33</v>
      </c>
      <c r="J8" s="15" t="s">
        <v>34</v>
      </c>
      <c r="K8" s="15" t="s">
        <v>35</v>
      </c>
      <c r="L8" s="15" t="s">
        <v>19</v>
      </c>
      <c r="M8" s="17">
        <v>1047</v>
      </c>
      <c r="N8" s="17">
        <v>73</v>
      </c>
      <c r="O8" s="15" t="s">
        <v>52</v>
      </c>
      <c r="P8" s="15" t="str">
        <f t="shared" si="0"/>
        <v>Career &amp; Alumni</v>
      </c>
      <c r="Q8" s="15" t="str">
        <f t="shared" si="1"/>
        <v>Student Experience &amp; Campus</v>
      </c>
      <c r="R8" s="15" t="str">
        <f t="shared" si="2"/>
        <v>Engagement/Relationship</v>
      </c>
      <c r="S8" s="15" t="str">
        <f t="shared" si="3"/>
        <v>OK</v>
      </c>
      <c r="T8" s="15" t="str">
        <f t="shared" si="4"/>
        <v>OK</v>
      </c>
      <c r="U8" s="15" t="str">
        <f t="shared" si="5"/>
        <v>OK</v>
      </c>
      <c r="V8" s="15" t="str">
        <f t="shared" si="6"/>
        <v>OK</v>
      </c>
    </row>
    <row r="9" spans="1:22" ht="57.6" x14ac:dyDescent="0.3">
      <c r="A9" s="15" t="s">
        <v>53</v>
      </c>
      <c r="B9" s="15" t="s">
        <v>16</v>
      </c>
      <c r="C9" s="16">
        <v>45733</v>
      </c>
      <c r="D9" s="15" t="s">
        <v>601</v>
      </c>
      <c r="E9" s="15">
        <v>2025</v>
      </c>
      <c r="F9" s="15" t="s">
        <v>54</v>
      </c>
      <c r="G9" s="15" t="s">
        <v>18</v>
      </c>
      <c r="H9" s="15" t="s">
        <v>19</v>
      </c>
      <c r="I9" s="15" t="s">
        <v>48</v>
      </c>
      <c r="J9" s="15" t="s">
        <v>33</v>
      </c>
      <c r="K9" s="15" t="s">
        <v>55</v>
      </c>
      <c r="L9" s="15" t="s">
        <v>56</v>
      </c>
      <c r="M9" s="17">
        <v>2463</v>
      </c>
      <c r="N9" s="17">
        <v>59</v>
      </c>
      <c r="O9" s="15" t="s">
        <v>57</v>
      </c>
      <c r="P9" s="15" t="str">
        <f t="shared" si="0"/>
        <v>Student Experience &amp; Campus</v>
      </c>
      <c r="Q9" s="15" t="str">
        <f t="shared" si="1"/>
        <v>Career &amp; Alumni</v>
      </c>
      <c r="R9" s="15" t="str">
        <f t="shared" si="2"/>
        <v>Engagement/Relationship</v>
      </c>
      <c r="S9" s="15" t="str">
        <f t="shared" si="3"/>
        <v>OK</v>
      </c>
      <c r="T9" s="15" t="str">
        <f t="shared" si="4"/>
        <v>OK</v>
      </c>
      <c r="U9" s="15" t="str">
        <f t="shared" si="5"/>
        <v>OK</v>
      </c>
      <c r="V9" s="15" t="str">
        <f t="shared" si="6"/>
        <v>OK</v>
      </c>
    </row>
    <row r="10" spans="1:22" ht="100.8" x14ac:dyDescent="0.3">
      <c r="A10" s="15" t="s">
        <v>58</v>
      </c>
      <c r="B10" s="15" t="s">
        <v>16</v>
      </c>
      <c r="C10" s="16">
        <v>45736</v>
      </c>
      <c r="D10" s="15" t="s">
        <v>601</v>
      </c>
      <c r="E10" s="15">
        <v>2025</v>
      </c>
      <c r="F10" s="15" t="s">
        <v>59</v>
      </c>
      <c r="G10" s="15" t="s">
        <v>18</v>
      </c>
      <c r="H10" s="15" t="s">
        <v>19</v>
      </c>
      <c r="I10" s="15" t="s">
        <v>60</v>
      </c>
      <c r="J10" s="15" t="s">
        <v>61</v>
      </c>
      <c r="K10" s="15" t="s">
        <v>62</v>
      </c>
      <c r="L10" s="15" t="s">
        <v>19</v>
      </c>
      <c r="M10" s="17">
        <v>537</v>
      </c>
      <c r="N10" s="17">
        <v>11</v>
      </c>
      <c r="O10" s="15" t="s">
        <v>63</v>
      </c>
      <c r="P10" s="15" t="str">
        <f t="shared" si="0"/>
        <v>Academic &amp; Admissions</v>
      </c>
      <c r="Q10" s="15" t="str">
        <f t="shared" si="1"/>
        <v>Student Experience &amp; Campus</v>
      </c>
      <c r="R10" s="15" t="str">
        <f t="shared" si="2"/>
        <v>Promotional/Conversion</v>
      </c>
      <c r="S10" s="15" t="str">
        <f t="shared" si="3"/>
        <v>OK</v>
      </c>
      <c r="T10" s="15" t="str">
        <f t="shared" si="4"/>
        <v>OK</v>
      </c>
      <c r="U10" s="15" t="str">
        <f t="shared" si="5"/>
        <v>OK</v>
      </c>
      <c r="V10" s="15" t="str">
        <f t="shared" si="6"/>
        <v>OK</v>
      </c>
    </row>
    <row r="11" spans="1:22" ht="57.6" x14ac:dyDescent="0.3">
      <c r="A11" s="15" t="s">
        <v>64</v>
      </c>
      <c r="B11" s="15" t="s">
        <v>16</v>
      </c>
      <c r="C11" s="16">
        <v>45748</v>
      </c>
      <c r="D11" s="15" t="s">
        <v>602</v>
      </c>
      <c r="E11" s="15">
        <v>2025</v>
      </c>
      <c r="F11" s="15" t="s">
        <v>65</v>
      </c>
      <c r="G11" s="15" t="s">
        <v>47</v>
      </c>
      <c r="H11" s="15" t="s">
        <v>19</v>
      </c>
      <c r="I11" s="15" t="s">
        <v>60</v>
      </c>
      <c r="J11" s="15" t="s">
        <v>28</v>
      </c>
      <c r="K11" s="15" t="s">
        <v>66</v>
      </c>
      <c r="L11" s="15" t="s">
        <v>19</v>
      </c>
      <c r="M11" s="17">
        <v>2233</v>
      </c>
      <c r="N11" s="17">
        <v>20</v>
      </c>
      <c r="O11" s="15" t="s">
        <v>67</v>
      </c>
      <c r="P11" s="15" t="str">
        <f t="shared" si="0"/>
        <v>Academic &amp; Admissions</v>
      </c>
      <c r="Q11" s="15" t="str">
        <f t="shared" si="1"/>
        <v>Academic &amp; Admissions</v>
      </c>
      <c r="R11" s="15" t="str">
        <f t="shared" si="2"/>
        <v>Promotional/Conversion</v>
      </c>
      <c r="S11" s="15" t="str">
        <f t="shared" si="3"/>
        <v>OK</v>
      </c>
      <c r="T11" s="15" t="str">
        <f t="shared" si="4"/>
        <v>OK</v>
      </c>
      <c r="U11" s="15" t="str">
        <f t="shared" si="5"/>
        <v>OK</v>
      </c>
      <c r="V11" s="15" t="str">
        <f t="shared" si="6"/>
        <v>OK</v>
      </c>
    </row>
    <row r="12" spans="1:22" ht="72" x14ac:dyDescent="0.3">
      <c r="A12" s="15" t="s">
        <v>68</v>
      </c>
      <c r="B12" s="15" t="s">
        <v>16</v>
      </c>
      <c r="C12" s="16">
        <v>45751</v>
      </c>
      <c r="D12" s="15" t="str">
        <f>IF(C12="","",TEXT(C12,"mmmm"))</f>
        <v>April</v>
      </c>
      <c r="E12" s="15">
        <f>IF(C12="","",YEAR(C12))</f>
        <v>2025</v>
      </c>
      <c r="F12" s="15" t="s">
        <v>69</v>
      </c>
      <c r="G12" s="15" t="s">
        <v>18</v>
      </c>
      <c r="H12" s="15" t="s">
        <v>19</v>
      </c>
      <c r="I12" s="15" t="s">
        <v>70</v>
      </c>
      <c r="J12" s="15" t="s">
        <v>20</v>
      </c>
      <c r="K12" s="15" t="s">
        <v>22</v>
      </c>
      <c r="L12" s="15" t="s">
        <v>19</v>
      </c>
      <c r="M12" s="17">
        <v>1645</v>
      </c>
      <c r="N12" s="17">
        <v>14</v>
      </c>
      <c r="O12" s="15" t="s">
        <v>71</v>
      </c>
      <c r="P12" s="15" t="str">
        <f t="shared" si="0"/>
        <v>Student Experience &amp; Campus</v>
      </c>
      <c r="Q12" s="15" t="str">
        <f t="shared" si="1"/>
        <v>Student Experience &amp; Campus</v>
      </c>
      <c r="R12" s="15" t="str">
        <f t="shared" si="2"/>
        <v>Engagement/Relationship</v>
      </c>
      <c r="S12" s="15" t="str">
        <f t="shared" si="3"/>
        <v>OK</v>
      </c>
      <c r="T12" s="15" t="str">
        <f t="shared" si="4"/>
        <v>OK</v>
      </c>
      <c r="U12" s="15" t="str">
        <f t="shared" si="5"/>
        <v>OK</v>
      </c>
      <c r="V12" s="15" t="str">
        <f t="shared" si="6"/>
        <v>OK</v>
      </c>
    </row>
    <row r="13" spans="1:22" ht="57.6" x14ac:dyDescent="0.3">
      <c r="A13" s="15" t="s">
        <v>72</v>
      </c>
      <c r="B13" s="15" t="s">
        <v>16</v>
      </c>
      <c r="C13" s="16">
        <v>45772</v>
      </c>
      <c r="D13" s="15" t="s">
        <v>602</v>
      </c>
      <c r="E13" s="15">
        <v>2025</v>
      </c>
      <c r="F13" s="15" t="s">
        <v>73</v>
      </c>
      <c r="G13" s="15" t="s">
        <v>18</v>
      </c>
      <c r="H13" s="15" t="s">
        <v>19</v>
      </c>
      <c r="I13" s="15" t="s">
        <v>60</v>
      </c>
      <c r="J13" s="15" t="s">
        <v>20</v>
      </c>
      <c r="K13" s="15" t="s">
        <v>22</v>
      </c>
      <c r="L13" s="15" t="s">
        <v>56</v>
      </c>
      <c r="M13" s="17">
        <v>3952</v>
      </c>
      <c r="N13" s="17">
        <v>56</v>
      </c>
      <c r="O13" s="15" t="s">
        <v>74</v>
      </c>
      <c r="P13" s="15" t="str">
        <f t="shared" si="0"/>
        <v>Academic &amp; Admissions</v>
      </c>
      <c r="Q13" s="15" t="str">
        <f t="shared" si="1"/>
        <v>Student Experience &amp; Campus</v>
      </c>
      <c r="R13" s="15" t="str">
        <f t="shared" si="2"/>
        <v>Engagement/Relationship</v>
      </c>
      <c r="S13" s="15" t="str">
        <f t="shared" si="3"/>
        <v>OK</v>
      </c>
      <c r="T13" s="15" t="str">
        <f t="shared" si="4"/>
        <v>OK</v>
      </c>
      <c r="U13" s="15" t="str">
        <f t="shared" si="5"/>
        <v>OK</v>
      </c>
      <c r="V13" s="15" t="str">
        <f t="shared" si="6"/>
        <v>OK</v>
      </c>
    </row>
    <row r="14" spans="1:22" ht="100.8" x14ac:dyDescent="0.3">
      <c r="A14" s="15" t="s">
        <v>75</v>
      </c>
      <c r="B14" s="15" t="s">
        <v>16</v>
      </c>
      <c r="C14" s="16">
        <v>45783</v>
      </c>
      <c r="D14" s="15" t="s">
        <v>603</v>
      </c>
      <c r="E14" s="15">
        <v>2025</v>
      </c>
      <c r="F14" s="15" t="s">
        <v>76</v>
      </c>
      <c r="G14" s="15" t="s">
        <v>18</v>
      </c>
      <c r="H14" s="15" t="s">
        <v>19</v>
      </c>
      <c r="I14" s="15" t="s">
        <v>34</v>
      </c>
      <c r="J14" s="15" t="s">
        <v>20</v>
      </c>
      <c r="K14" s="15" t="s">
        <v>22</v>
      </c>
      <c r="L14" s="15" t="s">
        <v>19</v>
      </c>
      <c r="M14" s="17">
        <v>3672</v>
      </c>
      <c r="N14" s="17">
        <v>59</v>
      </c>
      <c r="O14" s="15" t="s">
        <v>77</v>
      </c>
      <c r="P14" s="15" t="str">
        <f t="shared" si="0"/>
        <v>Student Experience &amp; Campus</v>
      </c>
      <c r="Q14" s="15" t="str">
        <f t="shared" si="1"/>
        <v>Student Experience &amp; Campus</v>
      </c>
      <c r="R14" s="15" t="str">
        <f t="shared" si="2"/>
        <v>Engagement/Relationship</v>
      </c>
      <c r="S14" s="15" t="str">
        <f t="shared" si="3"/>
        <v>OK</v>
      </c>
      <c r="T14" s="15" t="str">
        <f t="shared" si="4"/>
        <v>OK</v>
      </c>
      <c r="U14" s="15" t="str">
        <f t="shared" si="5"/>
        <v>OK</v>
      </c>
      <c r="V14" s="15" t="str">
        <f t="shared" si="6"/>
        <v>OK</v>
      </c>
    </row>
    <row r="15" spans="1:22" ht="72" x14ac:dyDescent="0.3">
      <c r="A15" s="15" t="s">
        <v>78</v>
      </c>
      <c r="B15" s="15" t="s">
        <v>16</v>
      </c>
      <c r="C15" s="16">
        <v>45792</v>
      </c>
      <c r="D15" s="15" t="s">
        <v>603</v>
      </c>
      <c r="E15" s="15">
        <v>2025</v>
      </c>
      <c r="F15" s="15" t="s">
        <v>79</v>
      </c>
      <c r="G15" s="15" t="s">
        <v>18</v>
      </c>
      <c r="H15" s="15" t="s">
        <v>19</v>
      </c>
      <c r="I15" s="15" t="s">
        <v>20</v>
      </c>
      <c r="J15" s="15" t="s">
        <v>21</v>
      </c>
      <c r="K15" s="15" t="s">
        <v>43</v>
      </c>
      <c r="L15" s="15" t="s">
        <v>19</v>
      </c>
      <c r="M15" s="17">
        <v>971</v>
      </c>
      <c r="N15" s="17">
        <v>27</v>
      </c>
      <c r="O15" s="15" t="s">
        <v>80</v>
      </c>
      <c r="P15" s="15" t="str">
        <f t="shared" si="0"/>
        <v>Student Experience &amp; Campus</v>
      </c>
      <c r="Q15" s="15" t="str">
        <f t="shared" si="1"/>
        <v>Student Experience &amp; Campus</v>
      </c>
      <c r="R15" s="15" t="str">
        <f t="shared" si="2"/>
        <v>Engagement/Relationship</v>
      </c>
      <c r="S15" s="15" t="str">
        <f t="shared" si="3"/>
        <v>OK</v>
      </c>
      <c r="T15" s="15" t="str">
        <f t="shared" si="4"/>
        <v>OK</v>
      </c>
      <c r="U15" s="15" t="str">
        <f t="shared" si="5"/>
        <v>OK</v>
      </c>
      <c r="V15" s="15" t="str">
        <f t="shared" si="6"/>
        <v>OK</v>
      </c>
    </row>
    <row r="16" spans="1:22" ht="129.6" x14ac:dyDescent="0.3">
      <c r="A16" s="15" t="s">
        <v>81</v>
      </c>
      <c r="B16" s="15" t="s">
        <v>16</v>
      </c>
      <c r="C16" s="16">
        <v>45804</v>
      </c>
      <c r="D16" s="15" t="s">
        <v>603</v>
      </c>
      <c r="E16" s="15">
        <v>2025</v>
      </c>
      <c r="F16" s="15" t="s">
        <v>82</v>
      </c>
      <c r="G16" s="15" t="s">
        <v>26</v>
      </c>
      <c r="H16" s="15" t="s">
        <v>19</v>
      </c>
      <c r="I16" s="15" t="s">
        <v>20</v>
      </c>
      <c r="J16" s="15" t="s">
        <v>28</v>
      </c>
      <c r="K16" s="15" t="s">
        <v>43</v>
      </c>
      <c r="L16" s="15" t="s">
        <v>19</v>
      </c>
      <c r="M16" s="17">
        <v>1006</v>
      </c>
      <c r="N16" s="17">
        <v>9</v>
      </c>
      <c r="O16" s="15" t="s">
        <v>83</v>
      </c>
      <c r="P16" s="15" t="str">
        <f t="shared" si="0"/>
        <v>Student Experience &amp; Campus</v>
      </c>
      <c r="Q16" s="15" t="str">
        <f t="shared" si="1"/>
        <v>Academic &amp; Admissions</v>
      </c>
      <c r="R16" s="15" t="str">
        <f t="shared" si="2"/>
        <v>Engagement/Relationship</v>
      </c>
      <c r="S16" s="15" t="str">
        <f t="shared" si="3"/>
        <v>OK</v>
      </c>
      <c r="T16" s="15" t="str">
        <f t="shared" si="4"/>
        <v>OK</v>
      </c>
      <c r="U16" s="15" t="str">
        <f t="shared" si="5"/>
        <v>OK</v>
      </c>
      <c r="V16" s="15" t="str">
        <f t="shared" si="6"/>
        <v>OK</v>
      </c>
    </row>
    <row r="17" spans="1:22" ht="100.8" x14ac:dyDescent="0.3">
      <c r="A17" s="15" t="s">
        <v>84</v>
      </c>
      <c r="B17" s="15" t="s">
        <v>16</v>
      </c>
      <c r="C17" s="16">
        <v>45809</v>
      </c>
      <c r="D17" s="15" t="s">
        <v>88</v>
      </c>
      <c r="E17" s="15">
        <v>2025</v>
      </c>
      <c r="F17" s="15" t="s">
        <v>85</v>
      </c>
      <c r="G17" s="15" t="s">
        <v>18</v>
      </c>
      <c r="H17" s="15" t="s">
        <v>19</v>
      </c>
      <c r="I17" s="15" t="s">
        <v>33</v>
      </c>
      <c r="J17" s="15" t="s">
        <v>21</v>
      </c>
      <c r="K17" s="15" t="s">
        <v>35</v>
      </c>
      <c r="L17" s="15" t="s">
        <v>19</v>
      </c>
      <c r="M17" s="17">
        <v>606</v>
      </c>
      <c r="N17" s="17">
        <v>8</v>
      </c>
      <c r="O17" s="15" t="s">
        <v>86</v>
      </c>
      <c r="P17" s="15" t="str">
        <f t="shared" si="0"/>
        <v>Career &amp; Alumni</v>
      </c>
      <c r="Q17" s="15" t="str">
        <f t="shared" si="1"/>
        <v>Student Experience &amp; Campus</v>
      </c>
      <c r="R17" s="15" t="str">
        <f t="shared" si="2"/>
        <v>Engagement/Relationship</v>
      </c>
      <c r="S17" s="15" t="str">
        <f t="shared" si="3"/>
        <v>OK</v>
      </c>
      <c r="T17" s="15" t="str">
        <f t="shared" si="4"/>
        <v>OK</v>
      </c>
      <c r="U17" s="15" t="str">
        <f t="shared" si="5"/>
        <v>OK</v>
      </c>
      <c r="V17" s="15" t="str">
        <f t="shared" si="6"/>
        <v>OK</v>
      </c>
    </row>
    <row r="18" spans="1:22" ht="86.4" x14ac:dyDescent="0.3">
      <c r="A18" s="15" t="s">
        <v>87</v>
      </c>
      <c r="B18" s="15" t="s">
        <v>16</v>
      </c>
      <c r="C18" s="16">
        <v>45825</v>
      </c>
      <c r="D18" s="15" t="s">
        <v>88</v>
      </c>
      <c r="E18" s="15">
        <v>2025</v>
      </c>
      <c r="F18" s="15" t="s">
        <v>89</v>
      </c>
      <c r="G18" s="15" t="s">
        <v>26</v>
      </c>
      <c r="H18" s="15" t="s">
        <v>19</v>
      </c>
      <c r="I18" s="15" t="s">
        <v>28</v>
      </c>
      <c r="J18" s="15" t="s">
        <v>39</v>
      </c>
      <c r="K18" s="15" t="s">
        <v>66</v>
      </c>
      <c r="L18" s="15" t="s">
        <v>19</v>
      </c>
      <c r="M18" s="17">
        <v>625</v>
      </c>
      <c r="N18" s="17">
        <v>8</v>
      </c>
      <c r="O18" s="15" t="s">
        <v>90</v>
      </c>
      <c r="P18" s="15" t="str">
        <f t="shared" si="0"/>
        <v>Academic &amp; Admissions</v>
      </c>
      <c r="Q18" s="15" t="str">
        <f t="shared" si="1"/>
        <v>Research &amp; Innovation</v>
      </c>
      <c r="R18" s="15" t="str">
        <f t="shared" si="2"/>
        <v>Promotional/Conversion</v>
      </c>
      <c r="S18" s="15" t="str">
        <f t="shared" si="3"/>
        <v>OK</v>
      </c>
      <c r="T18" s="15" t="str">
        <f t="shared" si="4"/>
        <v>OK</v>
      </c>
      <c r="U18" s="15" t="str">
        <f t="shared" si="5"/>
        <v>OK</v>
      </c>
      <c r="V18" s="15" t="str">
        <f t="shared" si="6"/>
        <v>OK</v>
      </c>
    </row>
    <row r="19" spans="1:22" ht="86.4" x14ac:dyDescent="0.3">
      <c r="A19" s="15" t="s">
        <v>91</v>
      </c>
      <c r="B19" s="15" t="s">
        <v>16</v>
      </c>
      <c r="C19" s="16">
        <v>45832</v>
      </c>
      <c r="D19" s="15" t="s">
        <v>88</v>
      </c>
      <c r="E19" s="15">
        <f>IF(C19="","",YEAR(C19))</f>
        <v>2025</v>
      </c>
      <c r="F19" s="15" t="s">
        <v>92</v>
      </c>
      <c r="G19" s="15" t="s">
        <v>18</v>
      </c>
      <c r="H19" s="15" t="s">
        <v>19</v>
      </c>
      <c r="I19" s="15" t="s">
        <v>48</v>
      </c>
      <c r="J19" s="15" t="s">
        <v>20</v>
      </c>
      <c r="K19" s="15" t="s">
        <v>93</v>
      </c>
      <c r="L19" s="15" t="s">
        <v>56</v>
      </c>
      <c r="M19" s="17">
        <v>366</v>
      </c>
      <c r="N19" s="17">
        <v>26</v>
      </c>
      <c r="O19" s="15" t="s">
        <v>94</v>
      </c>
      <c r="P19" s="15" t="str">
        <f t="shared" si="0"/>
        <v>Student Experience &amp; Campus</v>
      </c>
      <c r="Q19" s="15" t="str">
        <f t="shared" si="1"/>
        <v>Student Experience &amp; Campus</v>
      </c>
      <c r="R19" s="15" t="str">
        <f t="shared" si="2"/>
        <v>Informational</v>
      </c>
      <c r="S19" s="15" t="str">
        <f t="shared" si="3"/>
        <v>OK</v>
      </c>
      <c r="T19" s="15" t="str">
        <f t="shared" si="4"/>
        <v>OK</v>
      </c>
      <c r="U19" s="15" t="str">
        <f t="shared" si="5"/>
        <v>OK</v>
      </c>
      <c r="V19" s="15" t="str">
        <f t="shared" si="6"/>
        <v>OK</v>
      </c>
    </row>
    <row r="20" spans="1:22" ht="100.8" x14ac:dyDescent="0.3">
      <c r="A20" s="15" t="s">
        <v>95</v>
      </c>
      <c r="B20" s="15" t="s">
        <v>16</v>
      </c>
      <c r="C20" s="16">
        <v>45842</v>
      </c>
      <c r="D20" s="15" t="s">
        <v>604</v>
      </c>
      <c r="E20" s="15">
        <v>2025</v>
      </c>
      <c r="F20" s="15" t="s">
        <v>96</v>
      </c>
      <c r="G20" s="15" t="s">
        <v>18</v>
      </c>
      <c r="H20" s="15" t="s">
        <v>19</v>
      </c>
      <c r="I20" s="15" t="s">
        <v>34</v>
      </c>
      <c r="J20" s="15" t="s">
        <v>97</v>
      </c>
      <c r="K20" s="15" t="s">
        <v>66</v>
      </c>
      <c r="L20" s="15" t="s">
        <v>19</v>
      </c>
      <c r="M20" s="17">
        <v>323</v>
      </c>
      <c r="N20" s="17">
        <v>7</v>
      </c>
      <c r="O20" s="15" t="s">
        <v>98</v>
      </c>
      <c r="P20" s="15" t="str">
        <f t="shared" si="0"/>
        <v>Student Experience &amp; Campus</v>
      </c>
      <c r="Q20" s="15" t="str">
        <f t="shared" si="1"/>
        <v>Other</v>
      </c>
      <c r="R20" s="15" t="str">
        <f t="shared" si="2"/>
        <v>Promotional/Conversion</v>
      </c>
      <c r="S20" s="15" t="str">
        <f t="shared" si="3"/>
        <v>OK</v>
      </c>
      <c r="T20" s="15" t="str">
        <f t="shared" si="4"/>
        <v>OK</v>
      </c>
      <c r="U20" s="15" t="str">
        <f t="shared" si="5"/>
        <v>OK</v>
      </c>
      <c r="V20" s="15" t="str">
        <f t="shared" si="6"/>
        <v>OK</v>
      </c>
    </row>
    <row r="21" spans="1:22" ht="72" x14ac:dyDescent="0.3">
      <c r="A21" s="15" t="s">
        <v>99</v>
      </c>
      <c r="B21" s="15" t="s">
        <v>16</v>
      </c>
      <c r="C21" s="16">
        <v>45847</v>
      </c>
      <c r="D21" s="15" t="s">
        <v>604</v>
      </c>
      <c r="E21" s="15">
        <v>2025</v>
      </c>
      <c r="F21" s="15" t="s">
        <v>100</v>
      </c>
      <c r="G21" s="15" t="s">
        <v>26</v>
      </c>
      <c r="H21" s="15" t="s">
        <v>19</v>
      </c>
      <c r="I21" s="15" t="s">
        <v>20</v>
      </c>
      <c r="J21" s="15" t="s">
        <v>101</v>
      </c>
      <c r="K21" s="15" t="s">
        <v>66</v>
      </c>
      <c r="L21" s="15" t="s">
        <v>19</v>
      </c>
      <c r="M21" s="17">
        <v>512</v>
      </c>
      <c r="N21" s="17">
        <v>10</v>
      </c>
      <c r="O21" s="15" t="s">
        <v>102</v>
      </c>
      <c r="P21" s="15" t="str">
        <f t="shared" si="0"/>
        <v>Student Experience &amp; Campus</v>
      </c>
      <c r="Q21" s="15" t="str">
        <f t="shared" si="1"/>
        <v>Career &amp; Alumni</v>
      </c>
      <c r="R21" s="15" t="str">
        <f t="shared" si="2"/>
        <v>Promotional/Conversion</v>
      </c>
      <c r="S21" s="15" t="str">
        <f t="shared" si="3"/>
        <v>OK</v>
      </c>
      <c r="T21" s="15" t="str">
        <f t="shared" si="4"/>
        <v>OK</v>
      </c>
      <c r="U21" s="15" t="str">
        <f t="shared" si="5"/>
        <v>OK</v>
      </c>
      <c r="V21" s="15" t="str">
        <f t="shared" si="6"/>
        <v>OK</v>
      </c>
    </row>
    <row r="22" spans="1:22" ht="57.6" x14ac:dyDescent="0.3">
      <c r="A22" s="15" t="s">
        <v>103</v>
      </c>
      <c r="B22" s="15" t="s">
        <v>16</v>
      </c>
      <c r="C22" s="16">
        <v>45856</v>
      </c>
      <c r="D22" s="15" t="s">
        <v>604</v>
      </c>
      <c r="E22" s="15">
        <v>2025</v>
      </c>
      <c r="F22" s="15" t="s">
        <v>104</v>
      </c>
      <c r="G22" s="15" t="s">
        <v>18</v>
      </c>
      <c r="H22" s="15" t="s">
        <v>19</v>
      </c>
      <c r="I22" s="15" t="s">
        <v>70</v>
      </c>
      <c r="J22" s="15" t="s">
        <v>27</v>
      </c>
      <c r="K22" s="15" t="s">
        <v>29</v>
      </c>
      <c r="L22" s="15" t="s">
        <v>19</v>
      </c>
      <c r="M22" s="17">
        <v>1132</v>
      </c>
      <c r="N22" s="17">
        <v>14</v>
      </c>
      <c r="O22" s="15" t="s">
        <v>105</v>
      </c>
      <c r="P22" s="15" t="str">
        <f t="shared" si="0"/>
        <v>Student Experience &amp; Campus</v>
      </c>
      <c r="Q22" s="15" t="str">
        <f t="shared" si="1"/>
        <v>Institutional Reputation</v>
      </c>
      <c r="R22" s="15" t="str">
        <f t="shared" si="2"/>
        <v>Reputation-focused</v>
      </c>
      <c r="S22" s="15" t="str">
        <f t="shared" si="3"/>
        <v>OK</v>
      </c>
      <c r="T22" s="15" t="str">
        <f t="shared" si="4"/>
        <v>OK</v>
      </c>
      <c r="U22" s="15" t="str">
        <f t="shared" si="5"/>
        <v>OK</v>
      </c>
      <c r="V22" s="15" t="str">
        <f t="shared" si="6"/>
        <v>OK</v>
      </c>
    </row>
    <row r="23" spans="1:22" ht="86.4" x14ac:dyDescent="0.3">
      <c r="A23" s="15" t="s">
        <v>106</v>
      </c>
      <c r="B23" s="15" t="s">
        <v>16</v>
      </c>
      <c r="C23" s="16">
        <v>45877</v>
      </c>
      <c r="D23" s="15" t="s">
        <v>605</v>
      </c>
      <c r="E23" s="15">
        <v>2025</v>
      </c>
      <c r="F23" s="15" t="s">
        <v>107</v>
      </c>
      <c r="G23" s="15" t="s">
        <v>26</v>
      </c>
      <c r="H23" s="15" t="s">
        <v>19</v>
      </c>
      <c r="I23" s="15" t="s">
        <v>21</v>
      </c>
      <c r="J23" s="15" t="s">
        <v>70</v>
      </c>
      <c r="K23" s="15" t="s">
        <v>93</v>
      </c>
      <c r="L23" s="15" t="s">
        <v>19</v>
      </c>
      <c r="M23" s="17">
        <v>3763</v>
      </c>
      <c r="N23" s="17">
        <v>29</v>
      </c>
      <c r="O23" s="15" t="s">
        <v>108</v>
      </c>
      <c r="P23" s="15" t="str">
        <f t="shared" si="0"/>
        <v>Student Experience &amp; Campus</v>
      </c>
      <c r="Q23" s="15" t="str">
        <f t="shared" si="1"/>
        <v>Student Experience &amp; Campus</v>
      </c>
      <c r="R23" s="15" t="str">
        <f t="shared" si="2"/>
        <v>Informational</v>
      </c>
      <c r="S23" s="15" t="str">
        <f t="shared" si="3"/>
        <v>OK</v>
      </c>
      <c r="T23" s="15" t="str">
        <f t="shared" si="4"/>
        <v>OK</v>
      </c>
      <c r="U23" s="15" t="str">
        <f t="shared" si="5"/>
        <v>OK</v>
      </c>
      <c r="V23" s="15" t="str">
        <f t="shared" si="6"/>
        <v>OK</v>
      </c>
    </row>
    <row r="24" spans="1:22" ht="72" x14ac:dyDescent="0.3">
      <c r="A24" s="15" t="s">
        <v>109</v>
      </c>
      <c r="B24" s="15" t="s">
        <v>16</v>
      </c>
      <c r="C24" s="16">
        <v>45891</v>
      </c>
      <c r="D24" s="15" t="s">
        <v>605</v>
      </c>
      <c r="E24" s="15">
        <v>2025</v>
      </c>
      <c r="F24" s="15" t="s">
        <v>110</v>
      </c>
      <c r="G24" s="15" t="s">
        <v>18</v>
      </c>
      <c r="H24" s="15" t="s">
        <v>19</v>
      </c>
      <c r="I24" s="15" t="s">
        <v>20</v>
      </c>
      <c r="J24" s="15" t="s">
        <v>21</v>
      </c>
      <c r="K24" s="15" t="s">
        <v>66</v>
      </c>
      <c r="L24" s="15" t="s">
        <v>19</v>
      </c>
      <c r="M24" s="17">
        <v>657</v>
      </c>
      <c r="N24" s="17">
        <v>8</v>
      </c>
      <c r="O24" s="15" t="s">
        <v>111</v>
      </c>
      <c r="P24" s="15" t="str">
        <f t="shared" si="0"/>
        <v>Student Experience &amp; Campus</v>
      </c>
      <c r="Q24" s="15" t="str">
        <f t="shared" si="1"/>
        <v>Student Experience &amp; Campus</v>
      </c>
      <c r="R24" s="15" t="str">
        <f t="shared" si="2"/>
        <v>Promotional/Conversion</v>
      </c>
      <c r="S24" s="15" t="str">
        <f t="shared" si="3"/>
        <v>OK</v>
      </c>
      <c r="T24" s="15" t="str">
        <f t="shared" si="4"/>
        <v>OK</v>
      </c>
      <c r="U24" s="15" t="str">
        <f t="shared" si="5"/>
        <v>OK</v>
      </c>
      <c r="V24" s="15" t="str">
        <f t="shared" si="6"/>
        <v>OK</v>
      </c>
    </row>
    <row r="25" spans="1:22" ht="100.8" x14ac:dyDescent="0.3">
      <c r="A25" s="15" t="s">
        <v>112</v>
      </c>
      <c r="B25" s="15" t="s">
        <v>16</v>
      </c>
      <c r="C25" s="16">
        <v>45895</v>
      </c>
      <c r="D25" s="15" t="s">
        <v>605</v>
      </c>
      <c r="E25" s="15">
        <v>2025</v>
      </c>
      <c r="F25" s="15" t="s">
        <v>113</v>
      </c>
      <c r="G25" s="15" t="s">
        <v>18</v>
      </c>
      <c r="H25" s="15" t="s">
        <v>19</v>
      </c>
      <c r="I25" s="15" t="s">
        <v>28</v>
      </c>
      <c r="J25" s="15" t="s">
        <v>60</v>
      </c>
      <c r="K25" s="15" t="s">
        <v>66</v>
      </c>
      <c r="L25" s="15" t="s">
        <v>19</v>
      </c>
      <c r="M25" s="17">
        <v>2766</v>
      </c>
      <c r="N25" s="17">
        <v>23</v>
      </c>
      <c r="O25" s="15" t="s">
        <v>114</v>
      </c>
      <c r="P25" s="15" t="str">
        <f t="shared" si="0"/>
        <v>Academic &amp; Admissions</v>
      </c>
      <c r="Q25" s="15" t="str">
        <f t="shared" si="1"/>
        <v>Academic &amp; Admissions</v>
      </c>
      <c r="R25" s="15" t="str">
        <f t="shared" si="2"/>
        <v>Promotional/Conversion</v>
      </c>
      <c r="S25" s="15" t="str">
        <f t="shared" si="3"/>
        <v>OK</v>
      </c>
      <c r="T25" s="15" t="str">
        <f t="shared" si="4"/>
        <v>OK</v>
      </c>
      <c r="U25" s="15" t="str">
        <f t="shared" si="5"/>
        <v>OK</v>
      </c>
      <c r="V25" s="15" t="str">
        <f t="shared" si="6"/>
        <v>OK</v>
      </c>
    </row>
    <row r="26" spans="1:22" ht="115.2" x14ac:dyDescent="0.3">
      <c r="A26" s="15" t="s">
        <v>115</v>
      </c>
      <c r="B26" s="15" t="s">
        <v>16</v>
      </c>
      <c r="C26" s="16">
        <v>45539</v>
      </c>
      <c r="D26" s="15" t="str">
        <f>IF(C26="","",TEXT(C26,"mmmm"))</f>
        <v>September</v>
      </c>
      <c r="E26" s="15">
        <f>IF(C26="","",YEAR(C26))</f>
        <v>2024</v>
      </c>
      <c r="F26" s="15" t="s">
        <v>116</v>
      </c>
      <c r="G26" s="15" t="s">
        <v>18</v>
      </c>
      <c r="H26" s="15" t="s">
        <v>19</v>
      </c>
      <c r="I26" s="15" t="s">
        <v>33</v>
      </c>
      <c r="J26" s="15" t="s">
        <v>21</v>
      </c>
      <c r="K26" s="15" t="s">
        <v>22</v>
      </c>
      <c r="L26" s="15" t="s">
        <v>56</v>
      </c>
      <c r="M26" s="17">
        <v>1134</v>
      </c>
      <c r="N26" s="17">
        <v>29</v>
      </c>
      <c r="O26" s="15" t="s">
        <v>117</v>
      </c>
      <c r="P26" s="15" t="str">
        <f t="shared" si="0"/>
        <v>Career &amp; Alumni</v>
      </c>
      <c r="Q26" s="15" t="str">
        <f t="shared" si="1"/>
        <v>Student Experience &amp; Campus</v>
      </c>
      <c r="R26" s="15" t="str">
        <f t="shared" si="2"/>
        <v>Engagement/Relationship</v>
      </c>
      <c r="S26" s="15" t="str">
        <f t="shared" si="3"/>
        <v>OK</v>
      </c>
      <c r="T26" s="15" t="str">
        <f t="shared" si="4"/>
        <v>OK</v>
      </c>
      <c r="U26" s="15" t="str">
        <f t="shared" si="5"/>
        <v>OK</v>
      </c>
      <c r="V26" s="15" t="str">
        <f t="shared" si="6"/>
        <v>OK</v>
      </c>
    </row>
    <row r="27" spans="1:22" ht="100.8" x14ac:dyDescent="0.3">
      <c r="A27" s="15" t="s">
        <v>118</v>
      </c>
      <c r="B27" s="15" t="s">
        <v>16</v>
      </c>
      <c r="C27" s="16">
        <v>45558</v>
      </c>
      <c r="D27" s="15" t="s">
        <v>606</v>
      </c>
      <c r="E27" s="15">
        <v>2024</v>
      </c>
      <c r="F27" s="15" t="s">
        <v>119</v>
      </c>
      <c r="G27" s="15" t="s">
        <v>26</v>
      </c>
      <c r="H27" s="15" t="s">
        <v>19</v>
      </c>
      <c r="I27" s="15" t="s">
        <v>120</v>
      </c>
      <c r="J27" s="15" t="s">
        <v>70</v>
      </c>
      <c r="K27" s="15" t="s">
        <v>93</v>
      </c>
      <c r="L27" s="15" t="s">
        <v>19</v>
      </c>
      <c r="M27" s="17">
        <v>2430</v>
      </c>
      <c r="N27" s="17">
        <v>9</v>
      </c>
      <c r="O27" s="15" t="s">
        <v>121</v>
      </c>
      <c r="P27" s="15" t="str">
        <f t="shared" si="0"/>
        <v>Academic &amp; Admissions</v>
      </c>
      <c r="Q27" s="15" t="str">
        <f t="shared" si="1"/>
        <v>Student Experience &amp; Campus</v>
      </c>
      <c r="R27" s="15" t="str">
        <f t="shared" si="2"/>
        <v>Informational</v>
      </c>
      <c r="S27" s="15" t="str">
        <f t="shared" si="3"/>
        <v>OK</v>
      </c>
      <c r="T27" s="15" t="str">
        <f t="shared" si="4"/>
        <v>OK</v>
      </c>
      <c r="U27" s="15" t="str">
        <f t="shared" si="5"/>
        <v>OK</v>
      </c>
      <c r="V27" s="15" t="str">
        <f t="shared" si="6"/>
        <v>OK</v>
      </c>
    </row>
    <row r="28" spans="1:22" ht="57.6" x14ac:dyDescent="0.3">
      <c r="A28" s="15" t="s">
        <v>122</v>
      </c>
      <c r="B28" s="15" t="s">
        <v>16</v>
      </c>
      <c r="C28" s="16">
        <v>45561</v>
      </c>
      <c r="D28" s="15" t="str">
        <f>IF(C28="","",TEXT(C28,"mmmm"))</f>
        <v>September</v>
      </c>
      <c r="E28" s="15">
        <f>IF(C28="","",YEAR(C28))</f>
        <v>2024</v>
      </c>
      <c r="F28" s="15" t="s">
        <v>123</v>
      </c>
      <c r="G28" s="15" t="s">
        <v>18</v>
      </c>
      <c r="H28" s="15" t="s">
        <v>19</v>
      </c>
      <c r="I28" s="15" t="s">
        <v>20</v>
      </c>
      <c r="J28" s="15" t="s">
        <v>124</v>
      </c>
      <c r="K28" s="15" t="s">
        <v>66</v>
      </c>
      <c r="L28" s="15" t="s">
        <v>19</v>
      </c>
      <c r="M28" s="17">
        <v>2380</v>
      </c>
      <c r="N28" s="17">
        <v>33</v>
      </c>
      <c r="O28" s="15" t="s">
        <v>125</v>
      </c>
      <c r="P28" s="15" t="str">
        <f t="shared" si="0"/>
        <v>Student Experience &amp; Campus</v>
      </c>
      <c r="Q28" s="15" t="str">
        <f t="shared" si="1"/>
        <v>Student Experience &amp; Campus</v>
      </c>
      <c r="R28" s="15" t="str">
        <f t="shared" si="2"/>
        <v>Promotional/Conversion</v>
      </c>
      <c r="S28" s="15" t="str">
        <f t="shared" si="3"/>
        <v>OK</v>
      </c>
      <c r="T28" s="15" t="str">
        <f t="shared" si="4"/>
        <v>OK</v>
      </c>
      <c r="U28" s="15" t="str">
        <f t="shared" si="5"/>
        <v>OK</v>
      </c>
      <c r="V28" s="15" t="str">
        <f t="shared" si="6"/>
        <v>OK</v>
      </c>
    </row>
    <row r="29" spans="1:22" ht="115.2" x14ac:dyDescent="0.3">
      <c r="A29" s="15" t="s">
        <v>126</v>
      </c>
      <c r="B29" s="15" t="s">
        <v>16</v>
      </c>
      <c r="C29" s="16">
        <v>45567</v>
      </c>
      <c r="D29" s="15" t="str">
        <f>IF(C29="","",TEXT(C29,"mmmm"))</f>
        <v>October</v>
      </c>
      <c r="E29" s="15">
        <f>IF(C29="","",YEAR(C29))</f>
        <v>2024</v>
      </c>
      <c r="F29" s="15" t="s">
        <v>127</v>
      </c>
      <c r="G29" s="15" t="s">
        <v>18</v>
      </c>
      <c r="H29" s="15" t="s">
        <v>19</v>
      </c>
      <c r="I29" s="15" t="s">
        <v>20</v>
      </c>
      <c r="J29" s="15" t="s">
        <v>124</v>
      </c>
      <c r="K29" s="15" t="s">
        <v>66</v>
      </c>
      <c r="L29" s="15" t="s">
        <v>19</v>
      </c>
      <c r="M29" s="17">
        <v>1095</v>
      </c>
      <c r="N29" s="17">
        <v>37</v>
      </c>
      <c r="O29" s="15" t="s">
        <v>128</v>
      </c>
      <c r="P29" s="15" t="str">
        <f t="shared" si="0"/>
        <v>Student Experience &amp; Campus</v>
      </c>
      <c r="Q29" s="15" t="str">
        <f t="shared" si="1"/>
        <v>Student Experience &amp; Campus</v>
      </c>
      <c r="R29" s="15" t="str">
        <f t="shared" si="2"/>
        <v>Promotional/Conversion</v>
      </c>
      <c r="S29" s="15" t="str">
        <f t="shared" si="3"/>
        <v>OK</v>
      </c>
      <c r="T29" s="15" t="str">
        <f t="shared" si="4"/>
        <v>OK</v>
      </c>
      <c r="U29" s="15" t="str">
        <f t="shared" si="5"/>
        <v>OK</v>
      </c>
      <c r="V29" s="15" t="str">
        <f t="shared" si="6"/>
        <v>OK</v>
      </c>
    </row>
    <row r="30" spans="1:22" ht="100.8" x14ac:dyDescent="0.3">
      <c r="A30" s="15" t="s">
        <v>129</v>
      </c>
      <c r="B30" s="15" t="s">
        <v>16</v>
      </c>
      <c r="C30" s="16">
        <v>45581</v>
      </c>
      <c r="D30" s="15" t="s">
        <v>607</v>
      </c>
      <c r="E30" s="15">
        <v>2024</v>
      </c>
      <c r="F30" s="15" t="s">
        <v>130</v>
      </c>
      <c r="G30" s="15" t="s">
        <v>26</v>
      </c>
      <c r="H30" s="15" t="s">
        <v>19</v>
      </c>
      <c r="I30" s="15" t="s">
        <v>27</v>
      </c>
      <c r="J30" s="15" t="s">
        <v>28</v>
      </c>
      <c r="K30" s="15" t="s">
        <v>93</v>
      </c>
      <c r="L30" s="15" t="s">
        <v>19</v>
      </c>
      <c r="M30" s="17">
        <v>4695</v>
      </c>
      <c r="N30" s="17">
        <v>37</v>
      </c>
      <c r="O30" s="15" t="s">
        <v>131</v>
      </c>
      <c r="P30" s="15" t="str">
        <f t="shared" si="0"/>
        <v>Institutional Reputation</v>
      </c>
      <c r="Q30" s="15" t="str">
        <f t="shared" si="1"/>
        <v>Academic &amp; Admissions</v>
      </c>
      <c r="R30" s="15" t="str">
        <f t="shared" si="2"/>
        <v>Informational</v>
      </c>
      <c r="S30" s="15" t="str">
        <f t="shared" si="3"/>
        <v>OK</v>
      </c>
      <c r="T30" s="15" t="str">
        <f t="shared" si="4"/>
        <v>OK</v>
      </c>
      <c r="U30" s="15" t="str">
        <f t="shared" si="5"/>
        <v>OK</v>
      </c>
      <c r="V30" s="15" t="str">
        <f t="shared" si="6"/>
        <v>OK</v>
      </c>
    </row>
    <row r="31" spans="1:22" ht="72" x14ac:dyDescent="0.3">
      <c r="A31" s="15" t="s">
        <v>132</v>
      </c>
      <c r="B31" s="15" t="s">
        <v>16</v>
      </c>
      <c r="C31" s="16">
        <v>45596</v>
      </c>
      <c r="D31" s="15" t="s">
        <v>607</v>
      </c>
      <c r="E31" s="15">
        <v>2024</v>
      </c>
      <c r="F31" s="15" t="s">
        <v>133</v>
      </c>
      <c r="G31" s="15" t="s">
        <v>18</v>
      </c>
      <c r="H31" s="15" t="s">
        <v>19</v>
      </c>
      <c r="I31" s="15" t="s">
        <v>20</v>
      </c>
      <c r="J31" s="15" t="s">
        <v>124</v>
      </c>
      <c r="K31" s="15" t="s">
        <v>43</v>
      </c>
      <c r="L31" s="15" t="s">
        <v>19</v>
      </c>
      <c r="M31" s="17">
        <v>3277</v>
      </c>
      <c r="N31" s="17">
        <v>72</v>
      </c>
      <c r="O31" s="15" t="s">
        <v>134</v>
      </c>
      <c r="P31" s="15" t="str">
        <f t="shared" si="0"/>
        <v>Student Experience &amp; Campus</v>
      </c>
      <c r="Q31" s="15" t="str">
        <f t="shared" si="1"/>
        <v>Student Experience &amp; Campus</v>
      </c>
      <c r="R31" s="15" t="str">
        <f t="shared" si="2"/>
        <v>Engagement/Relationship</v>
      </c>
      <c r="S31" s="15" t="str">
        <f t="shared" si="3"/>
        <v>OK</v>
      </c>
      <c r="T31" s="15" t="str">
        <f t="shared" si="4"/>
        <v>OK</v>
      </c>
      <c r="U31" s="15" t="str">
        <f t="shared" si="5"/>
        <v>OK</v>
      </c>
      <c r="V31" s="15" t="str">
        <f t="shared" si="6"/>
        <v>OK</v>
      </c>
    </row>
    <row r="32" spans="1:22" ht="100.8" x14ac:dyDescent="0.3">
      <c r="A32" s="15" t="s">
        <v>135</v>
      </c>
      <c r="B32" s="15" t="s">
        <v>16</v>
      </c>
      <c r="C32" s="16">
        <v>45601</v>
      </c>
      <c r="D32" s="15" t="s">
        <v>608</v>
      </c>
      <c r="E32" s="15">
        <v>2024</v>
      </c>
      <c r="F32" s="15" t="s">
        <v>136</v>
      </c>
      <c r="G32" s="15" t="s">
        <v>18</v>
      </c>
      <c r="H32" s="15" t="s">
        <v>19</v>
      </c>
      <c r="I32" s="15" t="s">
        <v>33</v>
      </c>
      <c r="J32" s="15" t="s">
        <v>48</v>
      </c>
      <c r="K32" s="15" t="s">
        <v>22</v>
      </c>
      <c r="L32" s="15" t="s">
        <v>56</v>
      </c>
      <c r="M32" s="17">
        <v>672</v>
      </c>
      <c r="N32" s="17">
        <v>16</v>
      </c>
      <c r="O32" s="15" t="s">
        <v>137</v>
      </c>
      <c r="P32" s="15" t="str">
        <f t="shared" si="0"/>
        <v>Career &amp; Alumni</v>
      </c>
      <c r="Q32" s="15" t="str">
        <f t="shared" si="1"/>
        <v>Student Experience &amp; Campus</v>
      </c>
      <c r="R32" s="15" t="str">
        <f t="shared" si="2"/>
        <v>Engagement/Relationship</v>
      </c>
      <c r="S32" s="15" t="str">
        <f t="shared" si="3"/>
        <v>OK</v>
      </c>
      <c r="T32" s="15" t="str">
        <f t="shared" si="4"/>
        <v>OK</v>
      </c>
      <c r="U32" s="15" t="str">
        <f t="shared" si="5"/>
        <v>OK</v>
      </c>
      <c r="V32" s="15" t="str">
        <f t="shared" si="6"/>
        <v>OK</v>
      </c>
    </row>
    <row r="33" spans="1:22" ht="86.4" x14ac:dyDescent="0.3">
      <c r="A33" s="15" t="s">
        <v>138</v>
      </c>
      <c r="B33" s="15" t="s">
        <v>16</v>
      </c>
      <c r="C33" s="16">
        <v>45608</v>
      </c>
      <c r="D33" s="15" t="s">
        <v>608</v>
      </c>
      <c r="E33" s="15">
        <v>2024</v>
      </c>
      <c r="F33" s="15" t="s">
        <v>139</v>
      </c>
      <c r="G33" s="15" t="s">
        <v>26</v>
      </c>
      <c r="H33" s="15" t="s">
        <v>19</v>
      </c>
      <c r="I33" s="15" t="s">
        <v>120</v>
      </c>
      <c r="J33" s="15" t="s">
        <v>20</v>
      </c>
      <c r="K33" s="15" t="s">
        <v>29</v>
      </c>
      <c r="L33" s="15" t="s">
        <v>19</v>
      </c>
      <c r="M33" s="17">
        <v>2933</v>
      </c>
      <c r="N33" s="17">
        <v>61</v>
      </c>
      <c r="O33" s="15" t="s">
        <v>140</v>
      </c>
      <c r="P33" s="15" t="str">
        <f t="shared" si="0"/>
        <v>Academic &amp; Admissions</v>
      </c>
      <c r="Q33" s="15" t="str">
        <f t="shared" si="1"/>
        <v>Student Experience &amp; Campus</v>
      </c>
      <c r="R33" s="15" t="str">
        <f t="shared" si="2"/>
        <v>Reputation-focused</v>
      </c>
      <c r="S33" s="15" t="str">
        <f t="shared" si="3"/>
        <v>OK</v>
      </c>
      <c r="T33" s="15" t="str">
        <f t="shared" si="4"/>
        <v>OK</v>
      </c>
      <c r="U33" s="15" t="str">
        <f t="shared" si="5"/>
        <v>OK</v>
      </c>
      <c r="V33" s="15" t="str">
        <f t="shared" si="6"/>
        <v>OK</v>
      </c>
    </row>
    <row r="34" spans="1:22" ht="86.4" x14ac:dyDescent="0.3">
      <c r="A34" s="15" t="s">
        <v>141</v>
      </c>
      <c r="B34" s="15" t="s">
        <v>16</v>
      </c>
      <c r="C34" s="16">
        <v>45617</v>
      </c>
      <c r="D34" s="15" t="s">
        <v>608</v>
      </c>
      <c r="E34" s="15">
        <v>2024</v>
      </c>
      <c r="F34" s="15" t="s">
        <v>142</v>
      </c>
      <c r="G34" s="15" t="s">
        <v>26</v>
      </c>
      <c r="H34" s="15" t="s">
        <v>19</v>
      </c>
      <c r="I34" s="15" t="s">
        <v>27</v>
      </c>
      <c r="J34" s="15" t="s">
        <v>101</v>
      </c>
      <c r="K34" s="15" t="s">
        <v>66</v>
      </c>
      <c r="L34" s="15" t="s">
        <v>19</v>
      </c>
      <c r="M34" s="17">
        <v>1779</v>
      </c>
      <c r="N34" s="17">
        <v>18</v>
      </c>
      <c r="O34" s="15" t="s">
        <v>143</v>
      </c>
      <c r="P34" s="15" t="str">
        <f t="shared" ref="P34:P65" si="7">IF(OR(I34="Student Experience",I34="Campus Life",I34="Campus Facilities",I34="Student Clubs &amp; Organizations",I34="Events",I34="Student Support Services",I34="Diversity &amp; Inclusion",I34="International Students"),"Student Experience &amp; Campus",IF(OR(I34="Academic Programs",I34="Admissions",I34="Scholarships &amp; Financial Aid"),"Academic &amp; Admissions",IF(OR(I34="Career Opportunities",I34="Alumni Success"),"Career &amp; Alumni",IF(I34="Research &amp; Innovation","Research &amp; Innovation",IF(I34="Rankings &amp; Achievements","Institutional Reputation","Other")))))</f>
        <v>Institutional Reputation</v>
      </c>
      <c r="Q34" s="15" t="str">
        <f t="shared" ref="Q34:Q65" si="8">IF(OR(J34="Student Experience",J34="Campus Life",J34="Campus Facilities",J34="Student Clubs &amp; Organizations",J34="Events",J34="Student Support Services",J34="Diversity &amp; Inclusion",J34="International Students"),"Student Experience &amp; Campus",IF(OR(J34="Academic Programs",J34="Admissions",J34="Scholarships &amp; Financial Aid"),"Academic &amp; Admissions",IF(OR(J34="Career Opportunities",J34="Alumni Success"),"Career &amp; Alumni",IF(J34="Research &amp; Innovation","Research &amp; Innovation",IF(J34="Rankings &amp; Achievements","Institutional Reputation","Other")))))</f>
        <v>Career &amp; Alumni</v>
      </c>
      <c r="R34" s="15" t="str">
        <f t="shared" ref="R34:R65" si="9">IF(K34="Informational","Informational",IF(OR(K34="Promotional",K34="Call-to-Action"),"Promotional/Conversion",IF(K34="Reputation Building","Reputation-focused","Engagement/Relationship")))</f>
        <v>Promotional/Conversion</v>
      </c>
      <c r="S34" s="15" t="str">
        <f t="shared" ref="S34:S65" si="10">IF(COUNTIF($A$2:$A$181,A34)&gt;1,"Duplicate","OK")</f>
        <v>OK</v>
      </c>
      <c r="T34" s="15" t="str">
        <f t="shared" ref="T34:T65" si="11">IF(COUNTIF($F$2:$F$181,F34)&gt;1,"Duplicate","OK")</f>
        <v>OK</v>
      </c>
      <c r="U34" s="15" t="str">
        <f t="shared" ref="U34:U65" si="12">IF(AND(TEXT(C34,"mmmm")=D34,YEAR(C34)=E34),"OK","Mismatch")</f>
        <v>OK</v>
      </c>
      <c r="V34" s="15" t="str">
        <f t="shared" ref="V34:V65" si="13">IF(OR(M34="NA",N34="NA"),"Likes/comments unavailable",IF(I34=J34,"Primary and secondary themes identical","OK"))</f>
        <v>OK</v>
      </c>
    </row>
    <row r="35" spans="1:22" ht="100.8" x14ac:dyDescent="0.3">
      <c r="A35" s="15" t="s">
        <v>144</v>
      </c>
      <c r="B35" s="15" t="s">
        <v>16</v>
      </c>
      <c r="C35" s="16">
        <v>45639</v>
      </c>
      <c r="D35" s="15" t="s">
        <v>609</v>
      </c>
      <c r="E35" s="15">
        <v>2024</v>
      </c>
      <c r="F35" s="15" t="s">
        <v>145</v>
      </c>
      <c r="G35" s="15" t="s">
        <v>18</v>
      </c>
      <c r="H35" s="15" t="s">
        <v>19</v>
      </c>
      <c r="I35" s="15" t="s">
        <v>27</v>
      </c>
      <c r="J35" s="15" t="s">
        <v>39</v>
      </c>
      <c r="K35" s="15" t="s">
        <v>55</v>
      </c>
      <c r="L35" s="15" t="s">
        <v>19</v>
      </c>
      <c r="M35" s="17">
        <v>878</v>
      </c>
      <c r="N35" s="17">
        <v>11</v>
      </c>
      <c r="O35" s="15" t="s">
        <v>146</v>
      </c>
      <c r="P35" s="15" t="str">
        <f t="shared" si="7"/>
        <v>Institutional Reputation</v>
      </c>
      <c r="Q35" s="15" t="str">
        <f t="shared" si="8"/>
        <v>Research &amp; Innovation</v>
      </c>
      <c r="R35" s="15" t="str">
        <f t="shared" si="9"/>
        <v>Engagement/Relationship</v>
      </c>
      <c r="S35" s="15" t="str">
        <f t="shared" si="10"/>
        <v>OK</v>
      </c>
      <c r="T35" s="15" t="str">
        <f t="shared" si="11"/>
        <v>OK</v>
      </c>
      <c r="U35" s="15" t="str">
        <f t="shared" si="12"/>
        <v>OK</v>
      </c>
      <c r="V35" s="15" t="str">
        <f t="shared" si="13"/>
        <v>OK</v>
      </c>
    </row>
    <row r="36" spans="1:22" ht="144" x14ac:dyDescent="0.3">
      <c r="A36" s="15" t="s">
        <v>147</v>
      </c>
      <c r="B36" s="15" t="s">
        <v>16</v>
      </c>
      <c r="C36" s="16">
        <v>45642</v>
      </c>
      <c r="D36" s="15" t="s">
        <v>609</v>
      </c>
      <c r="E36" s="15">
        <v>2024</v>
      </c>
      <c r="F36" s="15" t="s">
        <v>148</v>
      </c>
      <c r="G36" s="15" t="s">
        <v>18</v>
      </c>
      <c r="H36" s="15" t="s">
        <v>19</v>
      </c>
      <c r="I36" s="15" t="s">
        <v>70</v>
      </c>
      <c r="J36" s="15" t="s">
        <v>33</v>
      </c>
      <c r="K36" s="15" t="s">
        <v>93</v>
      </c>
      <c r="L36" s="15" t="s">
        <v>19</v>
      </c>
      <c r="M36" s="17">
        <v>798</v>
      </c>
      <c r="N36" s="17">
        <v>9</v>
      </c>
      <c r="O36" s="15" t="s">
        <v>149</v>
      </c>
      <c r="P36" s="15" t="str">
        <f t="shared" si="7"/>
        <v>Student Experience &amp; Campus</v>
      </c>
      <c r="Q36" s="15" t="str">
        <f t="shared" si="8"/>
        <v>Career &amp; Alumni</v>
      </c>
      <c r="R36" s="15" t="str">
        <f t="shared" si="9"/>
        <v>Informational</v>
      </c>
      <c r="S36" s="15" t="str">
        <f t="shared" si="10"/>
        <v>OK</v>
      </c>
      <c r="T36" s="15" t="str">
        <f t="shared" si="11"/>
        <v>OK</v>
      </c>
      <c r="U36" s="15" t="str">
        <f t="shared" si="12"/>
        <v>OK</v>
      </c>
      <c r="V36" s="15" t="str">
        <f t="shared" si="13"/>
        <v>OK</v>
      </c>
    </row>
    <row r="37" spans="1:22" ht="72" x14ac:dyDescent="0.3">
      <c r="A37" s="15" t="s">
        <v>150</v>
      </c>
      <c r="B37" s="15" t="s">
        <v>16</v>
      </c>
      <c r="C37" s="16">
        <v>45645</v>
      </c>
      <c r="D37" s="15" t="str">
        <f>IF(C37="","",TEXT(C37,"mmmm"))</f>
        <v>December</v>
      </c>
      <c r="E37" s="15">
        <f>IF(C37="","",YEAR(C37))</f>
        <v>2024</v>
      </c>
      <c r="F37" s="15" t="s">
        <v>151</v>
      </c>
      <c r="G37" s="15" t="s">
        <v>26</v>
      </c>
      <c r="H37" s="15" t="s">
        <v>19</v>
      </c>
      <c r="I37" s="15" t="s">
        <v>61</v>
      </c>
      <c r="J37" s="15" t="s">
        <v>20</v>
      </c>
      <c r="K37" s="15" t="s">
        <v>93</v>
      </c>
      <c r="L37" s="15" t="s">
        <v>19</v>
      </c>
      <c r="M37" s="17">
        <v>1768</v>
      </c>
      <c r="N37" s="17">
        <v>5</v>
      </c>
      <c r="O37" s="15" t="s">
        <v>152</v>
      </c>
      <c r="P37" s="15" t="str">
        <f t="shared" si="7"/>
        <v>Student Experience &amp; Campus</v>
      </c>
      <c r="Q37" s="15" t="str">
        <f t="shared" si="8"/>
        <v>Student Experience &amp; Campus</v>
      </c>
      <c r="R37" s="15" t="str">
        <f t="shared" si="9"/>
        <v>Informational</v>
      </c>
      <c r="S37" s="15" t="str">
        <f t="shared" si="10"/>
        <v>OK</v>
      </c>
      <c r="T37" s="15" t="str">
        <f t="shared" si="11"/>
        <v>OK</v>
      </c>
      <c r="U37" s="15" t="str">
        <f t="shared" si="12"/>
        <v>OK</v>
      </c>
      <c r="V37" s="15" t="str">
        <f t="shared" si="13"/>
        <v>OK</v>
      </c>
    </row>
    <row r="38" spans="1:22" ht="57.6" x14ac:dyDescent="0.3">
      <c r="A38" s="15" t="s">
        <v>153</v>
      </c>
      <c r="B38" s="15" t="s">
        <v>154</v>
      </c>
      <c r="C38" s="16">
        <v>45673</v>
      </c>
      <c r="D38" s="15" t="str">
        <f>IF(C38="","",TEXT(C38,"mmmm"))</f>
        <v>January</v>
      </c>
      <c r="E38" s="15">
        <f>IF(C38="","",YEAR(C38))</f>
        <v>2025</v>
      </c>
      <c r="F38" s="15" t="s">
        <v>155</v>
      </c>
      <c r="G38" s="15" t="s">
        <v>47</v>
      </c>
      <c r="H38" s="15" t="s">
        <v>19</v>
      </c>
      <c r="I38" s="15" t="s">
        <v>27</v>
      </c>
      <c r="J38" s="15" t="s">
        <v>97</v>
      </c>
      <c r="K38" s="15" t="s">
        <v>22</v>
      </c>
      <c r="L38" s="15" t="s">
        <v>19</v>
      </c>
      <c r="M38" s="17">
        <v>971</v>
      </c>
      <c r="N38" s="17">
        <v>2</v>
      </c>
      <c r="O38" s="15" t="s">
        <v>156</v>
      </c>
      <c r="P38" s="15" t="str">
        <f t="shared" si="7"/>
        <v>Institutional Reputation</v>
      </c>
      <c r="Q38" s="15" t="str">
        <f t="shared" si="8"/>
        <v>Other</v>
      </c>
      <c r="R38" s="15" t="str">
        <f t="shared" si="9"/>
        <v>Engagement/Relationship</v>
      </c>
      <c r="S38" s="15" t="str">
        <f t="shared" si="10"/>
        <v>OK</v>
      </c>
      <c r="T38" s="15" t="str">
        <f t="shared" si="11"/>
        <v>OK</v>
      </c>
      <c r="U38" s="15" t="str">
        <f t="shared" si="12"/>
        <v>OK</v>
      </c>
      <c r="V38" s="15" t="str">
        <f t="shared" si="13"/>
        <v>OK</v>
      </c>
    </row>
    <row r="39" spans="1:22" ht="57.6" x14ac:dyDescent="0.3">
      <c r="A39" s="15" t="s">
        <v>157</v>
      </c>
      <c r="B39" s="15" t="s">
        <v>154</v>
      </c>
      <c r="C39" s="16">
        <v>45687</v>
      </c>
      <c r="D39" s="15" t="s">
        <v>599</v>
      </c>
      <c r="E39" s="15">
        <v>2025</v>
      </c>
      <c r="F39" s="15" t="s">
        <v>158</v>
      </c>
      <c r="G39" s="15" t="s">
        <v>18</v>
      </c>
      <c r="H39" s="15" t="s">
        <v>19</v>
      </c>
      <c r="I39" s="15" t="s">
        <v>20</v>
      </c>
      <c r="J39" s="15" t="s">
        <v>101</v>
      </c>
      <c r="K39" s="15" t="s">
        <v>43</v>
      </c>
      <c r="L39" s="15" t="s">
        <v>19</v>
      </c>
      <c r="M39" s="17">
        <v>477</v>
      </c>
      <c r="N39" s="17">
        <v>11</v>
      </c>
      <c r="O39" s="15" t="s">
        <v>159</v>
      </c>
      <c r="P39" s="15" t="str">
        <f t="shared" si="7"/>
        <v>Student Experience &amp; Campus</v>
      </c>
      <c r="Q39" s="15" t="str">
        <f t="shared" si="8"/>
        <v>Career &amp; Alumni</v>
      </c>
      <c r="R39" s="15" t="str">
        <f t="shared" si="9"/>
        <v>Engagement/Relationship</v>
      </c>
      <c r="S39" s="15" t="str">
        <f t="shared" si="10"/>
        <v>OK</v>
      </c>
      <c r="T39" s="15" t="str">
        <f t="shared" si="11"/>
        <v>OK</v>
      </c>
      <c r="U39" s="15" t="str">
        <f t="shared" si="12"/>
        <v>OK</v>
      </c>
      <c r="V39" s="15" t="str">
        <f t="shared" si="13"/>
        <v>OK</v>
      </c>
    </row>
    <row r="40" spans="1:22" ht="100.8" x14ac:dyDescent="0.3">
      <c r="A40" s="15" t="s">
        <v>160</v>
      </c>
      <c r="B40" s="15" t="s">
        <v>154</v>
      </c>
      <c r="C40" s="16">
        <v>45675</v>
      </c>
      <c r="D40" s="15" t="str">
        <f>IF(C40="","",TEXT(C40,"mmmm"))</f>
        <v>January</v>
      </c>
      <c r="E40" s="15">
        <f>IF(C40="","",YEAR(C40))</f>
        <v>2025</v>
      </c>
      <c r="F40" s="15" t="s">
        <v>161</v>
      </c>
      <c r="G40" s="15" t="s">
        <v>47</v>
      </c>
      <c r="H40" s="15" t="s">
        <v>19</v>
      </c>
      <c r="I40" s="15" t="s">
        <v>162</v>
      </c>
      <c r="J40" s="15" t="s">
        <v>34</v>
      </c>
      <c r="K40" s="15" t="s">
        <v>22</v>
      </c>
      <c r="L40" s="15" t="s">
        <v>19</v>
      </c>
      <c r="M40" s="17">
        <v>878</v>
      </c>
      <c r="N40" s="17">
        <v>3</v>
      </c>
      <c r="O40" s="15" t="s">
        <v>163</v>
      </c>
      <c r="P40" s="15" t="str">
        <f t="shared" si="7"/>
        <v>Student Experience &amp; Campus</v>
      </c>
      <c r="Q40" s="15" t="str">
        <f t="shared" si="8"/>
        <v>Student Experience &amp; Campus</v>
      </c>
      <c r="R40" s="15" t="str">
        <f t="shared" si="9"/>
        <v>Engagement/Relationship</v>
      </c>
      <c r="S40" s="15" t="str">
        <f t="shared" si="10"/>
        <v>OK</v>
      </c>
      <c r="T40" s="15" t="str">
        <f t="shared" si="11"/>
        <v>OK</v>
      </c>
      <c r="U40" s="15" t="str">
        <f t="shared" si="12"/>
        <v>OK</v>
      </c>
      <c r="V40" s="15" t="str">
        <f t="shared" si="13"/>
        <v>OK</v>
      </c>
    </row>
    <row r="41" spans="1:22" ht="72" x14ac:dyDescent="0.3">
      <c r="A41" s="15" t="s">
        <v>164</v>
      </c>
      <c r="B41" s="15" t="s">
        <v>154</v>
      </c>
      <c r="C41" s="16">
        <v>45714</v>
      </c>
      <c r="D41" s="15" t="s">
        <v>600</v>
      </c>
      <c r="E41" s="15">
        <v>2025</v>
      </c>
      <c r="F41" s="15" t="s">
        <v>165</v>
      </c>
      <c r="G41" s="15" t="s">
        <v>18</v>
      </c>
      <c r="H41" s="15" t="s">
        <v>19</v>
      </c>
      <c r="I41" s="15" t="s">
        <v>70</v>
      </c>
      <c r="J41" s="15" t="s">
        <v>20</v>
      </c>
      <c r="K41" s="15" t="s">
        <v>93</v>
      </c>
      <c r="L41" s="15" t="s">
        <v>19</v>
      </c>
      <c r="M41" s="17">
        <v>443</v>
      </c>
      <c r="N41" s="17">
        <v>0</v>
      </c>
      <c r="O41" s="15" t="s">
        <v>166</v>
      </c>
      <c r="P41" s="15" t="str">
        <f t="shared" si="7"/>
        <v>Student Experience &amp; Campus</v>
      </c>
      <c r="Q41" s="15" t="str">
        <f t="shared" si="8"/>
        <v>Student Experience &amp; Campus</v>
      </c>
      <c r="R41" s="15" t="str">
        <f t="shared" si="9"/>
        <v>Informational</v>
      </c>
      <c r="S41" s="15" t="str">
        <f t="shared" si="10"/>
        <v>OK</v>
      </c>
      <c r="T41" s="15" t="str">
        <f t="shared" si="11"/>
        <v>OK</v>
      </c>
      <c r="U41" s="15" t="str">
        <f t="shared" si="12"/>
        <v>OK</v>
      </c>
      <c r="V41" s="15" t="str">
        <f t="shared" si="13"/>
        <v>OK</v>
      </c>
    </row>
    <row r="42" spans="1:22" ht="100.8" x14ac:dyDescent="0.3">
      <c r="A42" s="15" t="s">
        <v>167</v>
      </c>
      <c r="B42" s="15" t="s">
        <v>154</v>
      </c>
      <c r="C42" s="16">
        <v>45716</v>
      </c>
      <c r="D42" s="15" t="s">
        <v>600</v>
      </c>
      <c r="E42" s="15">
        <v>2025</v>
      </c>
      <c r="F42" s="15" t="s">
        <v>168</v>
      </c>
      <c r="G42" s="15" t="s">
        <v>26</v>
      </c>
      <c r="H42" s="15" t="s">
        <v>19</v>
      </c>
      <c r="I42" s="15" t="s">
        <v>28</v>
      </c>
      <c r="J42" s="15" t="s">
        <v>60</v>
      </c>
      <c r="K42" s="15" t="s">
        <v>66</v>
      </c>
      <c r="L42" s="15" t="s">
        <v>19</v>
      </c>
      <c r="M42" s="17">
        <v>524</v>
      </c>
      <c r="N42" s="17">
        <v>0</v>
      </c>
      <c r="O42" s="15" t="s">
        <v>169</v>
      </c>
      <c r="P42" s="15" t="str">
        <f t="shared" si="7"/>
        <v>Academic &amp; Admissions</v>
      </c>
      <c r="Q42" s="15" t="str">
        <f t="shared" si="8"/>
        <v>Academic &amp; Admissions</v>
      </c>
      <c r="R42" s="15" t="str">
        <f t="shared" si="9"/>
        <v>Promotional/Conversion</v>
      </c>
      <c r="S42" s="15" t="str">
        <f t="shared" si="10"/>
        <v>OK</v>
      </c>
      <c r="T42" s="15" t="str">
        <f t="shared" si="11"/>
        <v>OK</v>
      </c>
      <c r="U42" s="15" t="str">
        <f t="shared" si="12"/>
        <v>OK</v>
      </c>
      <c r="V42" s="15" t="str">
        <f t="shared" si="13"/>
        <v>OK</v>
      </c>
    </row>
    <row r="43" spans="1:22" ht="144" x14ac:dyDescent="0.3">
      <c r="A43" s="15" t="s">
        <v>170</v>
      </c>
      <c r="B43" s="15" t="s">
        <v>154</v>
      </c>
      <c r="C43" s="16">
        <v>45716</v>
      </c>
      <c r="D43" s="15" t="str">
        <f>IF(C43="","",TEXT(C43,"mmmm"))</f>
        <v>February</v>
      </c>
      <c r="E43" s="15">
        <f>IF(C43="","",YEAR(C43))</f>
        <v>2025</v>
      </c>
      <c r="F43" s="15" t="s">
        <v>171</v>
      </c>
      <c r="G43" s="15" t="s">
        <v>18</v>
      </c>
      <c r="H43" s="15" t="s">
        <v>19</v>
      </c>
      <c r="I43" s="15" t="s">
        <v>101</v>
      </c>
      <c r="J43" s="15" t="s">
        <v>20</v>
      </c>
      <c r="K43" s="15" t="s">
        <v>55</v>
      </c>
      <c r="L43" s="15" t="s">
        <v>56</v>
      </c>
      <c r="M43" s="17">
        <v>572</v>
      </c>
      <c r="N43" s="17">
        <v>8</v>
      </c>
      <c r="O43" s="15" t="s">
        <v>172</v>
      </c>
      <c r="P43" s="15" t="str">
        <f t="shared" si="7"/>
        <v>Career &amp; Alumni</v>
      </c>
      <c r="Q43" s="15" t="str">
        <f t="shared" si="8"/>
        <v>Student Experience &amp; Campus</v>
      </c>
      <c r="R43" s="15" t="str">
        <f t="shared" si="9"/>
        <v>Engagement/Relationship</v>
      </c>
      <c r="S43" s="15" t="str">
        <f t="shared" si="10"/>
        <v>OK</v>
      </c>
      <c r="T43" s="15" t="str">
        <f t="shared" si="11"/>
        <v>OK</v>
      </c>
      <c r="U43" s="15" t="str">
        <f t="shared" si="12"/>
        <v>OK</v>
      </c>
      <c r="V43" s="15" t="str">
        <f t="shared" si="13"/>
        <v>OK</v>
      </c>
    </row>
    <row r="44" spans="1:22" ht="57.6" x14ac:dyDescent="0.3">
      <c r="A44" s="15" t="s">
        <v>173</v>
      </c>
      <c r="B44" s="15" t="s">
        <v>154</v>
      </c>
      <c r="C44" s="16">
        <v>45720</v>
      </c>
      <c r="D44" s="15" t="s">
        <v>601</v>
      </c>
      <c r="E44" s="15">
        <v>2025</v>
      </c>
      <c r="F44" s="15" t="s">
        <v>174</v>
      </c>
      <c r="G44" s="15" t="s">
        <v>18</v>
      </c>
      <c r="H44" s="15" t="s">
        <v>19</v>
      </c>
      <c r="I44" s="15" t="s">
        <v>20</v>
      </c>
      <c r="J44" s="15" t="s">
        <v>28</v>
      </c>
      <c r="K44" s="15" t="s">
        <v>66</v>
      </c>
      <c r="L44" s="15" t="s">
        <v>19</v>
      </c>
      <c r="M44" s="17">
        <v>2040</v>
      </c>
      <c r="N44" s="17">
        <v>9</v>
      </c>
      <c r="O44" s="15" t="s">
        <v>175</v>
      </c>
      <c r="P44" s="15" t="str">
        <f t="shared" si="7"/>
        <v>Student Experience &amp; Campus</v>
      </c>
      <c r="Q44" s="15" t="str">
        <f t="shared" si="8"/>
        <v>Academic &amp; Admissions</v>
      </c>
      <c r="R44" s="15" t="str">
        <f t="shared" si="9"/>
        <v>Promotional/Conversion</v>
      </c>
      <c r="S44" s="15" t="str">
        <f t="shared" si="10"/>
        <v>OK</v>
      </c>
      <c r="T44" s="15" t="str">
        <f t="shared" si="11"/>
        <v>OK</v>
      </c>
      <c r="U44" s="15" t="str">
        <f t="shared" si="12"/>
        <v>OK</v>
      </c>
      <c r="V44" s="15" t="str">
        <f t="shared" si="13"/>
        <v>OK</v>
      </c>
    </row>
    <row r="45" spans="1:22" ht="86.4" x14ac:dyDescent="0.3">
      <c r="A45" s="15" t="s">
        <v>176</v>
      </c>
      <c r="B45" s="15" t="s">
        <v>154</v>
      </c>
      <c r="C45" s="16">
        <v>45729</v>
      </c>
      <c r="D45" s="15" t="s">
        <v>601</v>
      </c>
      <c r="E45" s="15">
        <v>2025</v>
      </c>
      <c r="F45" s="15" t="s">
        <v>177</v>
      </c>
      <c r="G45" s="15" t="s">
        <v>26</v>
      </c>
      <c r="H45" s="15" t="s">
        <v>19</v>
      </c>
      <c r="I45" s="15" t="s">
        <v>27</v>
      </c>
      <c r="J45" s="15" t="s">
        <v>28</v>
      </c>
      <c r="K45" s="15" t="s">
        <v>93</v>
      </c>
      <c r="L45" s="15" t="s">
        <v>19</v>
      </c>
      <c r="M45" s="17">
        <v>1650</v>
      </c>
      <c r="N45" s="17">
        <v>14</v>
      </c>
      <c r="O45" s="15" t="s">
        <v>178</v>
      </c>
      <c r="P45" s="15" t="str">
        <f t="shared" si="7"/>
        <v>Institutional Reputation</v>
      </c>
      <c r="Q45" s="15" t="str">
        <f t="shared" si="8"/>
        <v>Academic &amp; Admissions</v>
      </c>
      <c r="R45" s="15" t="str">
        <f t="shared" si="9"/>
        <v>Informational</v>
      </c>
      <c r="S45" s="15" t="str">
        <f t="shared" si="10"/>
        <v>OK</v>
      </c>
      <c r="T45" s="15" t="str">
        <f t="shared" si="11"/>
        <v>OK</v>
      </c>
      <c r="U45" s="15" t="str">
        <f t="shared" si="12"/>
        <v>OK</v>
      </c>
      <c r="V45" s="15" t="str">
        <f t="shared" si="13"/>
        <v>OK</v>
      </c>
    </row>
    <row r="46" spans="1:22" ht="72" x14ac:dyDescent="0.3">
      <c r="A46" s="15" t="s">
        <v>179</v>
      </c>
      <c r="B46" s="15" t="s">
        <v>154</v>
      </c>
      <c r="C46" s="16">
        <v>45747</v>
      </c>
      <c r="D46" s="15" t="s">
        <v>601</v>
      </c>
      <c r="E46" s="15">
        <v>2025</v>
      </c>
      <c r="F46" s="15" t="s">
        <v>180</v>
      </c>
      <c r="G46" s="15" t="s">
        <v>18</v>
      </c>
      <c r="H46" s="15" t="s">
        <v>19</v>
      </c>
      <c r="I46" s="15" t="s">
        <v>20</v>
      </c>
      <c r="J46" s="15" t="s">
        <v>28</v>
      </c>
      <c r="K46" s="15" t="s">
        <v>66</v>
      </c>
      <c r="L46" s="15" t="s">
        <v>56</v>
      </c>
      <c r="M46" s="17">
        <v>348</v>
      </c>
      <c r="N46" s="17">
        <v>16</v>
      </c>
      <c r="O46" s="15" t="s">
        <v>181</v>
      </c>
      <c r="P46" s="15" t="str">
        <f t="shared" si="7"/>
        <v>Student Experience &amp; Campus</v>
      </c>
      <c r="Q46" s="15" t="str">
        <f t="shared" si="8"/>
        <v>Academic &amp; Admissions</v>
      </c>
      <c r="R46" s="15" t="str">
        <f t="shared" si="9"/>
        <v>Promotional/Conversion</v>
      </c>
      <c r="S46" s="15" t="str">
        <f t="shared" si="10"/>
        <v>OK</v>
      </c>
      <c r="T46" s="15" t="str">
        <f t="shared" si="11"/>
        <v>OK</v>
      </c>
      <c r="U46" s="15" t="str">
        <f t="shared" si="12"/>
        <v>OK</v>
      </c>
      <c r="V46" s="15" t="str">
        <f t="shared" si="13"/>
        <v>OK</v>
      </c>
    </row>
    <row r="47" spans="1:22" ht="100.8" x14ac:dyDescent="0.3">
      <c r="A47" s="15" t="s">
        <v>182</v>
      </c>
      <c r="B47" s="15" t="s">
        <v>154</v>
      </c>
      <c r="C47" s="16">
        <v>45749</v>
      </c>
      <c r="D47" s="15" t="s">
        <v>602</v>
      </c>
      <c r="E47" s="15">
        <v>2025</v>
      </c>
      <c r="F47" s="15" t="s">
        <v>183</v>
      </c>
      <c r="G47" s="15" t="s">
        <v>18</v>
      </c>
      <c r="H47" s="15" t="s">
        <v>19</v>
      </c>
      <c r="I47" s="15" t="s">
        <v>20</v>
      </c>
      <c r="J47" s="15" t="s">
        <v>28</v>
      </c>
      <c r="K47" s="15" t="s">
        <v>66</v>
      </c>
      <c r="L47" s="15" t="s">
        <v>56</v>
      </c>
      <c r="M47" s="17">
        <v>442</v>
      </c>
      <c r="N47" s="17">
        <v>12</v>
      </c>
      <c r="O47" s="15" t="s">
        <v>184</v>
      </c>
      <c r="P47" s="15" t="str">
        <f t="shared" si="7"/>
        <v>Student Experience &amp; Campus</v>
      </c>
      <c r="Q47" s="15" t="str">
        <f t="shared" si="8"/>
        <v>Academic &amp; Admissions</v>
      </c>
      <c r="R47" s="15" t="str">
        <f t="shared" si="9"/>
        <v>Promotional/Conversion</v>
      </c>
      <c r="S47" s="15" t="str">
        <f t="shared" si="10"/>
        <v>OK</v>
      </c>
      <c r="T47" s="15" t="str">
        <f t="shared" si="11"/>
        <v>OK</v>
      </c>
      <c r="U47" s="15" t="str">
        <f t="shared" si="12"/>
        <v>OK</v>
      </c>
      <c r="V47" s="15" t="str">
        <f t="shared" si="13"/>
        <v>OK</v>
      </c>
    </row>
    <row r="48" spans="1:22" ht="115.2" x14ac:dyDescent="0.3">
      <c r="A48" s="15" t="s">
        <v>185</v>
      </c>
      <c r="B48" s="15" t="s">
        <v>154</v>
      </c>
      <c r="C48" s="16">
        <v>45769</v>
      </c>
      <c r="D48" s="15" t="s">
        <v>602</v>
      </c>
      <c r="E48" s="15">
        <v>2025</v>
      </c>
      <c r="F48" s="15" t="s">
        <v>186</v>
      </c>
      <c r="G48" s="15" t="s">
        <v>47</v>
      </c>
      <c r="H48" s="15" t="s">
        <v>19</v>
      </c>
      <c r="I48" s="15" t="s">
        <v>120</v>
      </c>
      <c r="J48" s="15" t="s">
        <v>28</v>
      </c>
      <c r="K48" s="15" t="s">
        <v>35</v>
      </c>
      <c r="L48" s="15" t="s">
        <v>19</v>
      </c>
      <c r="M48" s="17">
        <v>735</v>
      </c>
      <c r="N48" s="17">
        <v>2</v>
      </c>
      <c r="O48" s="15" t="s">
        <v>187</v>
      </c>
      <c r="P48" s="15" t="str">
        <f t="shared" si="7"/>
        <v>Academic &amp; Admissions</v>
      </c>
      <c r="Q48" s="15" t="str">
        <f t="shared" si="8"/>
        <v>Academic &amp; Admissions</v>
      </c>
      <c r="R48" s="15" t="str">
        <f t="shared" si="9"/>
        <v>Engagement/Relationship</v>
      </c>
      <c r="S48" s="15" t="str">
        <f t="shared" si="10"/>
        <v>OK</v>
      </c>
      <c r="T48" s="15" t="str">
        <f t="shared" si="11"/>
        <v>OK</v>
      </c>
      <c r="U48" s="15" t="str">
        <f t="shared" si="12"/>
        <v>OK</v>
      </c>
      <c r="V48" s="15" t="str">
        <f t="shared" si="13"/>
        <v>OK</v>
      </c>
    </row>
    <row r="49" spans="1:22" ht="129.6" x14ac:dyDescent="0.3">
      <c r="A49" s="15" t="s">
        <v>188</v>
      </c>
      <c r="B49" s="15" t="s">
        <v>154</v>
      </c>
      <c r="C49" s="16">
        <v>45777</v>
      </c>
      <c r="D49" s="15" t="s">
        <v>602</v>
      </c>
      <c r="E49" s="15">
        <v>2025</v>
      </c>
      <c r="F49" s="15" t="s">
        <v>189</v>
      </c>
      <c r="G49" s="15" t="s">
        <v>47</v>
      </c>
      <c r="H49" s="15" t="s">
        <v>19</v>
      </c>
      <c r="I49" s="15" t="s">
        <v>124</v>
      </c>
      <c r="J49" s="15" t="s">
        <v>20</v>
      </c>
      <c r="K49" s="15" t="s">
        <v>43</v>
      </c>
      <c r="L49" s="15" t="s">
        <v>19</v>
      </c>
      <c r="M49" s="17">
        <v>757</v>
      </c>
      <c r="N49" s="17">
        <v>1</v>
      </c>
      <c r="O49" s="15" t="s">
        <v>190</v>
      </c>
      <c r="P49" s="15" t="str">
        <f t="shared" si="7"/>
        <v>Student Experience &amp; Campus</v>
      </c>
      <c r="Q49" s="15" t="str">
        <f t="shared" si="8"/>
        <v>Student Experience &amp; Campus</v>
      </c>
      <c r="R49" s="15" t="str">
        <f t="shared" si="9"/>
        <v>Engagement/Relationship</v>
      </c>
      <c r="S49" s="15" t="str">
        <f t="shared" si="10"/>
        <v>OK</v>
      </c>
      <c r="T49" s="15" t="str">
        <f t="shared" si="11"/>
        <v>OK</v>
      </c>
      <c r="U49" s="15" t="str">
        <f t="shared" si="12"/>
        <v>OK</v>
      </c>
      <c r="V49" s="15" t="str">
        <f t="shared" si="13"/>
        <v>OK</v>
      </c>
    </row>
    <row r="50" spans="1:22" ht="72" x14ac:dyDescent="0.3">
      <c r="A50" s="15" t="s">
        <v>191</v>
      </c>
      <c r="B50" s="15" t="s">
        <v>154</v>
      </c>
      <c r="C50" s="16">
        <v>45790</v>
      </c>
      <c r="D50" s="15" t="s">
        <v>603</v>
      </c>
      <c r="E50" s="15">
        <v>2025</v>
      </c>
      <c r="F50" s="15" t="s">
        <v>192</v>
      </c>
      <c r="G50" s="15" t="s">
        <v>18</v>
      </c>
      <c r="H50" s="15" t="s">
        <v>19</v>
      </c>
      <c r="I50" s="15" t="s">
        <v>60</v>
      </c>
      <c r="J50" s="15" t="s">
        <v>20</v>
      </c>
      <c r="K50" s="15" t="s">
        <v>66</v>
      </c>
      <c r="L50" s="15" t="s">
        <v>56</v>
      </c>
      <c r="M50" s="17">
        <v>975</v>
      </c>
      <c r="N50" s="17">
        <v>3</v>
      </c>
      <c r="O50" s="15" t="s">
        <v>193</v>
      </c>
      <c r="P50" s="15" t="str">
        <f t="shared" si="7"/>
        <v>Academic &amp; Admissions</v>
      </c>
      <c r="Q50" s="15" t="str">
        <f t="shared" si="8"/>
        <v>Student Experience &amp; Campus</v>
      </c>
      <c r="R50" s="15" t="str">
        <f t="shared" si="9"/>
        <v>Promotional/Conversion</v>
      </c>
      <c r="S50" s="15" t="str">
        <f t="shared" si="10"/>
        <v>OK</v>
      </c>
      <c r="T50" s="15" t="str">
        <f t="shared" si="11"/>
        <v>OK</v>
      </c>
      <c r="U50" s="15" t="str">
        <f t="shared" si="12"/>
        <v>OK</v>
      </c>
      <c r="V50" s="15" t="str">
        <f t="shared" si="13"/>
        <v>OK</v>
      </c>
    </row>
    <row r="51" spans="1:22" ht="100.8" x14ac:dyDescent="0.3">
      <c r="A51" s="15" t="s">
        <v>194</v>
      </c>
      <c r="B51" s="15" t="s">
        <v>154</v>
      </c>
      <c r="C51" s="16">
        <v>45805</v>
      </c>
      <c r="D51" s="15" t="s">
        <v>603</v>
      </c>
      <c r="E51" s="15">
        <v>2025</v>
      </c>
      <c r="F51" s="15" t="s">
        <v>195</v>
      </c>
      <c r="G51" s="15" t="s">
        <v>18</v>
      </c>
      <c r="H51" s="15" t="s">
        <v>19</v>
      </c>
      <c r="I51" s="15" t="s">
        <v>20</v>
      </c>
      <c r="J51" s="15" t="s">
        <v>34</v>
      </c>
      <c r="K51" s="15" t="s">
        <v>35</v>
      </c>
      <c r="L51" s="15" t="s">
        <v>56</v>
      </c>
      <c r="M51" s="17">
        <v>5393</v>
      </c>
      <c r="N51" s="17">
        <v>84</v>
      </c>
      <c r="O51" s="15" t="s">
        <v>196</v>
      </c>
      <c r="P51" s="15" t="str">
        <f t="shared" si="7"/>
        <v>Student Experience &amp; Campus</v>
      </c>
      <c r="Q51" s="15" t="str">
        <f t="shared" si="8"/>
        <v>Student Experience &amp; Campus</v>
      </c>
      <c r="R51" s="15" t="str">
        <f t="shared" si="9"/>
        <v>Engagement/Relationship</v>
      </c>
      <c r="S51" s="15" t="str">
        <f t="shared" si="10"/>
        <v>OK</v>
      </c>
      <c r="T51" s="15" t="str">
        <f t="shared" si="11"/>
        <v>OK</v>
      </c>
      <c r="U51" s="15" t="str">
        <f t="shared" si="12"/>
        <v>OK</v>
      </c>
      <c r="V51" s="15" t="str">
        <f t="shared" si="13"/>
        <v>OK</v>
      </c>
    </row>
    <row r="52" spans="1:22" ht="115.2" x14ac:dyDescent="0.3">
      <c r="A52" s="15" t="s">
        <v>197</v>
      </c>
      <c r="B52" s="15" t="s">
        <v>154</v>
      </c>
      <c r="C52" s="16">
        <v>45778</v>
      </c>
      <c r="D52" s="15" t="str">
        <f>IF(C52="","",TEXT(C52,"mmmm"))</f>
        <v>May</v>
      </c>
      <c r="E52" s="15">
        <f>IF(C52="","",YEAR(C52))</f>
        <v>2025</v>
      </c>
      <c r="F52" s="15" t="s">
        <v>198</v>
      </c>
      <c r="G52" s="15" t="s">
        <v>47</v>
      </c>
      <c r="H52" s="15" t="s">
        <v>19</v>
      </c>
      <c r="I52" s="15" t="s">
        <v>101</v>
      </c>
      <c r="J52" s="15" t="s">
        <v>20</v>
      </c>
      <c r="K52" s="15" t="s">
        <v>55</v>
      </c>
      <c r="L52" s="15" t="s">
        <v>56</v>
      </c>
      <c r="M52" s="17">
        <v>238</v>
      </c>
      <c r="N52" s="17">
        <v>7</v>
      </c>
      <c r="O52" s="15" t="s">
        <v>199</v>
      </c>
      <c r="P52" s="15" t="str">
        <f t="shared" si="7"/>
        <v>Career &amp; Alumni</v>
      </c>
      <c r="Q52" s="15" t="str">
        <f t="shared" si="8"/>
        <v>Student Experience &amp; Campus</v>
      </c>
      <c r="R52" s="15" t="str">
        <f t="shared" si="9"/>
        <v>Engagement/Relationship</v>
      </c>
      <c r="S52" s="15" t="str">
        <f t="shared" si="10"/>
        <v>OK</v>
      </c>
      <c r="T52" s="15" t="str">
        <f t="shared" si="11"/>
        <v>OK</v>
      </c>
      <c r="U52" s="15" t="str">
        <f t="shared" si="12"/>
        <v>OK</v>
      </c>
      <c r="V52" s="15" t="str">
        <f t="shared" si="13"/>
        <v>OK</v>
      </c>
    </row>
    <row r="53" spans="1:22" ht="57.6" x14ac:dyDescent="0.3">
      <c r="A53" s="15" t="s">
        <v>200</v>
      </c>
      <c r="B53" s="15" t="s">
        <v>154</v>
      </c>
      <c r="C53" s="16">
        <v>45826</v>
      </c>
      <c r="D53" s="15" t="s">
        <v>88</v>
      </c>
      <c r="E53" s="15">
        <v>2025</v>
      </c>
      <c r="F53" s="15" t="s">
        <v>201</v>
      </c>
      <c r="G53" s="15" t="s">
        <v>18</v>
      </c>
      <c r="H53" s="15" t="s">
        <v>19</v>
      </c>
      <c r="I53" s="15" t="s">
        <v>27</v>
      </c>
      <c r="J53" s="15" t="s">
        <v>39</v>
      </c>
      <c r="K53" s="15" t="s">
        <v>29</v>
      </c>
      <c r="L53" s="15" t="s">
        <v>19</v>
      </c>
      <c r="M53" s="17">
        <v>1615</v>
      </c>
      <c r="N53" s="17">
        <v>17</v>
      </c>
      <c r="O53" s="15" t="s">
        <v>202</v>
      </c>
      <c r="P53" s="15" t="str">
        <f t="shared" si="7"/>
        <v>Institutional Reputation</v>
      </c>
      <c r="Q53" s="15" t="str">
        <f t="shared" si="8"/>
        <v>Research &amp; Innovation</v>
      </c>
      <c r="R53" s="15" t="str">
        <f t="shared" si="9"/>
        <v>Reputation-focused</v>
      </c>
      <c r="S53" s="15" t="str">
        <f t="shared" si="10"/>
        <v>OK</v>
      </c>
      <c r="T53" s="15" t="str">
        <f t="shared" si="11"/>
        <v>OK</v>
      </c>
      <c r="U53" s="15" t="str">
        <f t="shared" si="12"/>
        <v>OK</v>
      </c>
      <c r="V53" s="15" t="str">
        <f t="shared" si="13"/>
        <v>OK</v>
      </c>
    </row>
    <row r="54" spans="1:22" ht="57.6" x14ac:dyDescent="0.3">
      <c r="A54" s="15" t="s">
        <v>203</v>
      </c>
      <c r="B54" s="15" t="s">
        <v>154</v>
      </c>
      <c r="C54" s="16">
        <v>45832</v>
      </c>
      <c r="D54" s="15" t="s">
        <v>88</v>
      </c>
      <c r="E54" s="15">
        <v>2025</v>
      </c>
      <c r="F54" s="15" t="s">
        <v>204</v>
      </c>
      <c r="G54" s="15" t="s">
        <v>18</v>
      </c>
      <c r="H54" s="15" t="s">
        <v>19</v>
      </c>
      <c r="I54" s="15" t="s">
        <v>39</v>
      </c>
      <c r="J54" s="15" t="s">
        <v>101</v>
      </c>
      <c r="K54" s="15" t="s">
        <v>29</v>
      </c>
      <c r="L54" s="15" t="s">
        <v>19</v>
      </c>
      <c r="M54" s="17">
        <v>217</v>
      </c>
      <c r="N54" s="17">
        <v>1</v>
      </c>
      <c r="O54" s="15" t="s">
        <v>205</v>
      </c>
      <c r="P54" s="15" t="str">
        <f t="shared" si="7"/>
        <v>Research &amp; Innovation</v>
      </c>
      <c r="Q54" s="15" t="str">
        <f t="shared" si="8"/>
        <v>Career &amp; Alumni</v>
      </c>
      <c r="R54" s="15" t="str">
        <f t="shared" si="9"/>
        <v>Reputation-focused</v>
      </c>
      <c r="S54" s="15" t="str">
        <f t="shared" si="10"/>
        <v>OK</v>
      </c>
      <c r="T54" s="15" t="str">
        <f t="shared" si="11"/>
        <v>OK</v>
      </c>
      <c r="U54" s="15" t="str">
        <f t="shared" si="12"/>
        <v>OK</v>
      </c>
      <c r="V54" s="15" t="str">
        <f t="shared" si="13"/>
        <v>OK</v>
      </c>
    </row>
    <row r="55" spans="1:22" ht="72" x14ac:dyDescent="0.3">
      <c r="A55" s="15" t="s">
        <v>206</v>
      </c>
      <c r="B55" s="15" t="s">
        <v>154</v>
      </c>
      <c r="C55" s="16">
        <v>45834</v>
      </c>
      <c r="D55" s="15" t="s">
        <v>88</v>
      </c>
      <c r="E55" s="15">
        <v>2025</v>
      </c>
      <c r="F55" s="15" t="s">
        <v>207</v>
      </c>
      <c r="G55" s="15" t="s">
        <v>18</v>
      </c>
      <c r="H55" s="15" t="s">
        <v>19</v>
      </c>
      <c r="I55" s="15" t="s">
        <v>33</v>
      </c>
      <c r="J55" s="15" t="s">
        <v>20</v>
      </c>
      <c r="K55" s="15" t="s">
        <v>55</v>
      </c>
      <c r="L55" s="15" t="s">
        <v>56</v>
      </c>
      <c r="M55" s="17">
        <v>828</v>
      </c>
      <c r="N55" s="17">
        <v>7</v>
      </c>
      <c r="O55" s="15" t="s">
        <v>208</v>
      </c>
      <c r="P55" s="15" t="str">
        <f t="shared" si="7"/>
        <v>Career &amp; Alumni</v>
      </c>
      <c r="Q55" s="15" t="str">
        <f t="shared" si="8"/>
        <v>Student Experience &amp; Campus</v>
      </c>
      <c r="R55" s="15" t="str">
        <f t="shared" si="9"/>
        <v>Engagement/Relationship</v>
      </c>
      <c r="S55" s="15" t="str">
        <f t="shared" si="10"/>
        <v>OK</v>
      </c>
      <c r="T55" s="15" t="str">
        <f t="shared" si="11"/>
        <v>OK</v>
      </c>
      <c r="U55" s="15" t="str">
        <f t="shared" si="12"/>
        <v>OK</v>
      </c>
      <c r="V55" s="15" t="str">
        <f t="shared" si="13"/>
        <v>OK</v>
      </c>
    </row>
    <row r="56" spans="1:22" ht="100.8" x14ac:dyDescent="0.3">
      <c r="A56" s="15" t="s">
        <v>209</v>
      </c>
      <c r="B56" s="15" t="s">
        <v>154</v>
      </c>
      <c r="C56" s="16">
        <v>45855</v>
      </c>
      <c r="D56" s="15" t="s">
        <v>604</v>
      </c>
      <c r="E56" s="15">
        <v>2025</v>
      </c>
      <c r="F56" s="15" t="s">
        <v>210</v>
      </c>
      <c r="G56" s="15" t="s">
        <v>47</v>
      </c>
      <c r="H56" s="15" t="s">
        <v>19</v>
      </c>
      <c r="I56" s="15" t="s">
        <v>33</v>
      </c>
      <c r="J56" s="15" t="s">
        <v>20</v>
      </c>
      <c r="K56" s="15" t="s">
        <v>55</v>
      </c>
      <c r="L56" s="15" t="s">
        <v>19</v>
      </c>
      <c r="M56" s="17">
        <v>1620</v>
      </c>
      <c r="N56" s="17">
        <v>12</v>
      </c>
      <c r="O56" s="15" t="s">
        <v>211</v>
      </c>
      <c r="P56" s="15" t="str">
        <f t="shared" si="7"/>
        <v>Career &amp; Alumni</v>
      </c>
      <c r="Q56" s="15" t="str">
        <f t="shared" si="8"/>
        <v>Student Experience &amp; Campus</v>
      </c>
      <c r="R56" s="15" t="str">
        <f t="shared" si="9"/>
        <v>Engagement/Relationship</v>
      </c>
      <c r="S56" s="15" t="str">
        <f t="shared" si="10"/>
        <v>OK</v>
      </c>
      <c r="T56" s="15" t="str">
        <f t="shared" si="11"/>
        <v>OK</v>
      </c>
      <c r="U56" s="15" t="str">
        <f t="shared" si="12"/>
        <v>OK</v>
      </c>
      <c r="V56" s="15" t="str">
        <f t="shared" si="13"/>
        <v>OK</v>
      </c>
    </row>
    <row r="57" spans="1:22" ht="57.6" x14ac:dyDescent="0.3">
      <c r="A57" s="15" t="s">
        <v>212</v>
      </c>
      <c r="B57" s="15" t="s">
        <v>154</v>
      </c>
      <c r="C57" s="16">
        <v>45862</v>
      </c>
      <c r="D57" s="15" t="s">
        <v>604</v>
      </c>
      <c r="E57" s="15">
        <v>2025</v>
      </c>
      <c r="F57" s="15" t="s">
        <v>213</v>
      </c>
      <c r="G57" s="15" t="s">
        <v>47</v>
      </c>
      <c r="H57" s="15" t="s">
        <v>19</v>
      </c>
      <c r="I57" s="15" t="s">
        <v>101</v>
      </c>
      <c r="J57" s="15" t="s">
        <v>33</v>
      </c>
      <c r="K57" s="15" t="s">
        <v>22</v>
      </c>
      <c r="L57" s="15" t="s">
        <v>19</v>
      </c>
      <c r="M57" s="17">
        <v>4323</v>
      </c>
      <c r="N57" s="17">
        <v>14</v>
      </c>
      <c r="O57" s="15" t="s">
        <v>214</v>
      </c>
      <c r="P57" s="15" t="str">
        <f t="shared" si="7"/>
        <v>Career &amp; Alumni</v>
      </c>
      <c r="Q57" s="15" t="str">
        <f t="shared" si="8"/>
        <v>Career &amp; Alumni</v>
      </c>
      <c r="R57" s="15" t="str">
        <f t="shared" si="9"/>
        <v>Engagement/Relationship</v>
      </c>
      <c r="S57" s="15" t="str">
        <f t="shared" si="10"/>
        <v>OK</v>
      </c>
      <c r="T57" s="15" t="str">
        <f t="shared" si="11"/>
        <v>OK</v>
      </c>
      <c r="U57" s="15" t="str">
        <f t="shared" si="12"/>
        <v>OK</v>
      </c>
      <c r="V57" s="15" t="str">
        <f t="shared" si="13"/>
        <v>OK</v>
      </c>
    </row>
    <row r="58" spans="1:22" ht="86.4" x14ac:dyDescent="0.3">
      <c r="A58" s="15" t="s">
        <v>215</v>
      </c>
      <c r="B58" s="15" t="s">
        <v>154</v>
      </c>
      <c r="C58" s="16">
        <v>45861</v>
      </c>
      <c r="D58" s="15" t="str">
        <f>IF(C58="","",TEXT(C58,"mmmm"))</f>
        <v>July</v>
      </c>
      <c r="E58" s="15">
        <f>IF(C58="","",YEAR(C58))</f>
        <v>2025</v>
      </c>
      <c r="F58" s="15" t="s">
        <v>216</v>
      </c>
      <c r="G58" s="15" t="s">
        <v>18</v>
      </c>
      <c r="H58" s="15" t="s">
        <v>19</v>
      </c>
      <c r="I58" s="15" t="s">
        <v>20</v>
      </c>
      <c r="J58" s="15" t="s">
        <v>21</v>
      </c>
      <c r="K58" s="15" t="s">
        <v>66</v>
      </c>
      <c r="L58" s="15" t="s">
        <v>56</v>
      </c>
      <c r="M58" s="17">
        <v>5615</v>
      </c>
      <c r="N58" s="17">
        <v>14</v>
      </c>
      <c r="O58" s="15" t="s">
        <v>217</v>
      </c>
      <c r="P58" s="15" t="str">
        <f t="shared" si="7"/>
        <v>Student Experience &amp; Campus</v>
      </c>
      <c r="Q58" s="15" t="str">
        <f t="shared" si="8"/>
        <v>Student Experience &amp; Campus</v>
      </c>
      <c r="R58" s="15" t="str">
        <f t="shared" si="9"/>
        <v>Promotional/Conversion</v>
      </c>
      <c r="S58" s="15" t="str">
        <f t="shared" si="10"/>
        <v>OK</v>
      </c>
      <c r="T58" s="15" t="str">
        <f t="shared" si="11"/>
        <v>OK</v>
      </c>
      <c r="U58" s="15" t="str">
        <f t="shared" si="12"/>
        <v>OK</v>
      </c>
      <c r="V58" s="15" t="str">
        <f t="shared" si="13"/>
        <v>OK</v>
      </c>
    </row>
    <row r="59" spans="1:22" ht="115.2" x14ac:dyDescent="0.3">
      <c r="A59" s="15" t="s">
        <v>218</v>
      </c>
      <c r="B59" s="15" t="s">
        <v>154</v>
      </c>
      <c r="C59" s="16">
        <v>45884</v>
      </c>
      <c r="D59" s="15" t="s">
        <v>605</v>
      </c>
      <c r="E59" s="15">
        <v>2025</v>
      </c>
      <c r="F59" s="15" t="s">
        <v>219</v>
      </c>
      <c r="G59" s="15" t="s">
        <v>47</v>
      </c>
      <c r="H59" s="15" t="s">
        <v>19</v>
      </c>
      <c r="I59" s="15" t="s">
        <v>20</v>
      </c>
      <c r="J59" s="15" t="s">
        <v>39</v>
      </c>
      <c r="K59" s="15" t="s">
        <v>35</v>
      </c>
      <c r="L59" s="15" t="s">
        <v>19</v>
      </c>
      <c r="M59" s="17">
        <v>1425</v>
      </c>
      <c r="N59" s="17">
        <v>6</v>
      </c>
      <c r="O59" s="15" t="s">
        <v>220</v>
      </c>
      <c r="P59" s="15" t="str">
        <f t="shared" si="7"/>
        <v>Student Experience &amp; Campus</v>
      </c>
      <c r="Q59" s="15" t="str">
        <f t="shared" si="8"/>
        <v>Research &amp; Innovation</v>
      </c>
      <c r="R59" s="15" t="str">
        <f t="shared" si="9"/>
        <v>Engagement/Relationship</v>
      </c>
      <c r="S59" s="15" t="str">
        <f t="shared" si="10"/>
        <v>OK</v>
      </c>
      <c r="T59" s="15" t="str">
        <f t="shared" si="11"/>
        <v>OK</v>
      </c>
      <c r="U59" s="15" t="str">
        <f t="shared" si="12"/>
        <v>OK</v>
      </c>
      <c r="V59" s="15" t="str">
        <f t="shared" si="13"/>
        <v>OK</v>
      </c>
    </row>
    <row r="60" spans="1:22" ht="57.6" x14ac:dyDescent="0.3">
      <c r="A60" s="15" t="s">
        <v>221</v>
      </c>
      <c r="B60" s="15" t="s">
        <v>154</v>
      </c>
      <c r="C60" s="16">
        <v>45887</v>
      </c>
      <c r="D60" s="15" t="s">
        <v>605</v>
      </c>
      <c r="E60" s="15">
        <v>2025</v>
      </c>
      <c r="F60" s="15" t="s">
        <v>222</v>
      </c>
      <c r="G60" s="15" t="s">
        <v>47</v>
      </c>
      <c r="H60" s="15" t="s">
        <v>19</v>
      </c>
      <c r="I60" s="15" t="s">
        <v>21</v>
      </c>
      <c r="J60" s="15" t="s">
        <v>101</v>
      </c>
      <c r="K60" s="15" t="s">
        <v>35</v>
      </c>
      <c r="L60" s="15" t="s">
        <v>19</v>
      </c>
      <c r="M60" s="17">
        <v>510</v>
      </c>
      <c r="N60" s="17">
        <v>23</v>
      </c>
      <c r="O60" s="15" t="s">
        <v>223</v>
      </c>
      <c r="P60" s="15" t="str">
        <f t="shared" si="7"/>
        <v>Student Experience &amp; Campus</v>
      </c>
      <c r="Q60" s="15" t="str">
        <f t="shared" si="8"/>
        <v>Career &amp; Alumni</v>
      </c>
      <c r="R60" s="15" t="str">
        <f t="shared" si="9"/>
        <v>Engagement/Relationship</v>
      </c>
      <c r="S60" s="15" t="str">
        <f t="shared" si="10"/>
        <v>OK</v>
      </c>
      <c r="T60" s="15" t="str">
        <f t="shared" si="11"/>
        <v>OK</v>
      </c>
      <c r="U60" s="15" t="str">
        <f t="shared" si="12"/>
        <v>OK</v>
      </c>
      <c r="V60" s="15" t="str">
        <f t="shared" si="13"/>
        <v>OK</v>
      </c>
    </row>
    <row r="61" spans="1:22" ht="100.8" x14ac:dyDescent="0.3">
      <c r="A61" s="15" t="s">
        <v>224</v>
      </c>
      <c r="B61" s="15" t="s">
        <v>154</v>
      </c>
      <c r="C61" s="16">
        <v>45891</v>
      </c>
      <c r="D61" s="15" t="s">
        <v>605</v>
      </c>
      <c r="E61" s="15">
        <v>2025</v>
      </c>
      <c r="F61" s="15" t="s">
        <v>225</v>
      </c>
      <c r="G61" s="15" t="s">
        <v>47</v>
      </c>
      <c r="H61" s="15" t="s">
        <v>19</v>
      </c>
      <c r="I61" s="15" t="s">
        <v>20</v>
      </c>
      <c r="J61" s="15" t="s">
        <v>124</v>
      </c>
      <c r="K61" s="15" t="s">
        <v>35</v>
      </c>
      <c r="L61" s="15" t="s">
        <v>19</v>
      </c>
      <c r="M61" s="17">
        <v>1635</v>
      </c>
      <c r="N61" s="17">
        <v>6</v>
      </c>
      <c r="O61" s="15" t="s">
        <v>226</v>
      </c>
      <c r="P61" s="15" t="str">
        <f t="shared" si="7"/>
        <v>Student Experience &amp; Campus</v>
      </c>
      <c r="Q61" s="15" t="str">
        <f t="shared" si="8"/>
        <v>Student Experience &amp; Campus</v>
      </c>
      <c r="R61" s="15" t="str">
        <f t="shared" si="9"/>
        <v>Engagement/Relationship</v>
      </c>
      <c r="S61" s="15" t="str">
        <f t="shared" si="10"/>
        <v>OK</v>
      </c>
      <c r="T61" s="15" t="str">
        <f t="shared" si="11"/>
        <v>OK</v>
      </c>
      <c r="U61" s="15" t="str">
        <f t="shared" si="12"/>
        <v>OK</v>
      </c>
      <c r="V61" s="15" t="str">
        <f t="shared" si="13"/>
        <v>OK</v>
      </c>
    </row>
    <row r="62" spans="1:22" ht="86.4" x14ac:dyDescent="0.3">
      <c r="A62" s="15" t="s">
        <v>227</v>
      </c>
      <c r="B62" s="15" t="s">
        <v>154</v>
      </c>
      <c r="C62" s="16">
        <v>45544</v>
      </c>
      <c r="D62" s="15" t="str">
        <f>IF(C62="","",TEXT(C62,"mmmm"))</f>
        <v>September</v>
      </c>
      <c r="E62" s="15">
        <f>IF(C62="","",YEAR(C62))</f>
        <v>2024</v>
      </c>
      <c r="F62" s="15" t="s">
        <v>228</v>
      </c>
      <c r="G62" s="15" t="s">
        <v>18</v>
      </c>
      <c r="H62" s="15" t="s">
        <v>19</v>
      </c>
      <c r="I62" s="15" t="s">
        <v>20</v>
      </c>
      <c r="J62" s="15" t="s">
        <v>21</v>
      </c>
      <c r="K62" s="15" t="s">
        <v>62</v>
      </c>
      <c r="L62" s="15" t="s">
        <v>19</v>
      </c>
      <c r="M62" s="17">
        <v>519</v>
      </c>
      <c r="N62" s="17">
        <v>9</v>
      </c>
      <c r="O62" s="15" t="s">
        <v>229</v>
      </c>
      <c r="P62" s="15" t="str">
        <f t="shared" si="7"/>
        <v>Student Experience &amp; Campus</v>
      </c>
      <c r="Q62" s="15" t="str">
        <f t="shared" si="8"/>
        <v>Student Experience &amp; Campus</v>
      </c>
      <c r="R62" s="15" t="str">
        <f t="shared" si="9"/>
        <v>Promotional/Conversion</v>
      </c>
      <c r="S62" s="15" t="str">
        <f t="shared" si="10"/>
        <v>OK</v>
      </c>
      <c r="T62" s="15" t="str">
        <f t="shared" si="11"/>
        <v>OK</v>
      </c>
      <c r="U62" s="15" t="str">
        <f t="shared" si="12"/>
        <v>OK</v>
      </c>
      <c r="V62" s="15" t="str">
        <f t="shared" si="13"/>
        <v>OK</v>
      </c>
    </row>
    <row r="63" spans="1:22" ht="100.8" x14ac:dyDescent="0.3">
      <c r="A63" s="15" t="s">
        <v>230</v>
      </c>
      <c r="B63" s="15" t="s">
        <v>154</v>
      </c>
      <c r="C63" s="16">
        <v>45538</v>
      </c>
      <c r="D63" s="15" t="s">
        <v>606</v>
      </c>
      <c r="E63" s="15">
        <v>2024</v>
      </c>
      <c r="F63" s="15" t="s">
        <v>231</v>
      </c>
      <c r="G63" s="15" t="s">
        <v>18</v>
      </c>
      <c r="H63" s="15" t="s">
        <v>19</v>
      </c>
      <c r="I63" s="15" t="s">
        <v>20</v>
      </c>
      <c r="J63" s="15" t="s">
        <v>21</v>
      </c>
      <c r="K63" s="15" t="s">
        <v>55</v>
      </c>
      <c r="L63" s="15" t="s">
        <v>56</v>
      </c>
      <c r="M63" s="17">
        <v>2486</v>
      </c>
      <c r="N63" s="17">
        <v>10</v>
      </c>
      <c r="O63" s="15" t="s">
        <v>232</v>
      </c>
      <c r="P63" s="15" t="str">
        <f t="shared" si="7"/>
        <v>Student Experience &amp; Campus</v>
      </c>
      <c r="Q63" s="15" t="str">
        <f t="shared" si="8"/>
        <v>Student Experience &amp; Campus</v>
      </c>
      <c r="R63" s="15" t="str">
        <f t="shared" si="9"/>
        <v>Engagement/Relationship</v>
      </c>
      <c r="S63" s="15" t="str">
        <f t="shared" si="10"/>
        <v>OK</v>
      </c>
      <c r="T63" s="15" t="str">
        <f t="shared" si="11"/>
        <v>OK</v>
      </c>
      <c r="U63" s="15" t="str">
        <f t="shared" si="12"/>
        <v>OK</v>
      </c>
      <c r="V63" s="15" t="str">
        <f t="shared" si="13"/>
        <v>OK</v>
      </c>
    </row>
    <row r="64" spans="1:22" ht="72" x14ac:dyDescent="0.3">
      <c r="A64" s="15" t="s">
        <v>233</v>
      </c>
      <c r="B64" s="15" t="s">
        <v>154</v>
      </c>
      <c r="C64" s="16">
        <v>45558</v>
      </c>
      <c r="D64" s="15" t="str">
        <f>IF(C64="","",TEXT(C64,"mmmm"))</f>
        <v>September</v>
      </c>
      <c r="E64" s="15">
        <f>IF(C64="","",YEAR(C64))</f>
        <v>2024</v>
      </c>
      <c r="F64" s="15" t="s">
        <v>234</v>
      </c>
      <c r="G64" s="15" t="s">
        <v>18</v>
      </c>
      <c r="H64" s="15" t="s">
        <v>19</v>
      </c>
      <c r="I64" s="15" t="s">
        <v>20</v>
      </c>
      <c r="J64" s="15" t="s">
        <v>21</v>
      </c>
      <c r="K64" s="15" t="s">
        <v>62</v>
      </c>
      <c r="L64" s="15" t="s">
        <v>19</v>
      </c>
      <c r="M64" s="17">
        <v>1832</v>
      </c>
      <c r="N64" s="17">
        <v>15</v>
      </c>
      <c r="O64" s="15" t="s">
        <v>235</v>
      </c>
      <c r="P64" s="15" t="str">
        <f t="shared" si="7"/>
        <v>Student Experience &amp; Campus</v>
      </c>
      <c r="Q64" s="15" t="str">
        <f t="shared" si="8"/>
        <v>Student Experience &amp; Campus</v>
      </c>
      <c r="R64" s="15" t="str">
        <f t="shared" si="9"/>
        <v>Promotional/Conversion</v>
      </c>
      <c r="S64" s="15" t="str">
        <f t="shared" si="10"/>
        <v>OK</v>
      </c>
      <c r="T64" s="15" t="str">
        <f t="shared" si="11"/>
        <v>OK</v>
      </c>
      <c r="U64" s="15" t="str">
        <f t="shared" si="12"/>
        <v>OK</v>
      </c>
      <c r="V64" s="15" t="str">
        <f t="shared" si="13"/>
        <v>OK</v>
      </c>
    </row>
    <row r="65" spans="1:22" ht="100.8" x14ac:dyDescent="0.3">
      <c r="A65" s="15" t="s">
        <v>236</v>
      </c>
      <c r="B65" s="15" t="s">
        <v>154</v>
      </c>
      <c r="C65" s="16">
        <v>45586</v>
      </c>
      <c r="D65" s="15" t="s">
        <v>607</v>
      </c>
      <c r="E65" s="15">
        <v>2024</v>
      </c>
      <c r="F65" s="15" t="s">
        <v>237</v>
      </c>
      <c r="G65" s="15" t="s">
        <v>47</v>
      </c>
      <c r="H65" s="15" t="s">
        <v>19</v>
      </c>
      <c r="I65" s="15" t="s">
        <v>20</v>
      </c>
      <c r="J65" s="15" t="s">
        <v>61</v>
      </c>
      <c r="K65" s="15" t="s">
        <v>35</v>
      </c>
      <c r="L65" s="15" t="s">
        <v>56</v>
      </c>
      <c r="M65" s="17">
        <v>898</v>
      </c>
      <c r="N65" s="17">
        <v>5</v>
      </c>
      <c r="O65" s="15" t="s">
        <v>238</v>
      </c>
      <c r="P65" s="15" t="str">
        <f t="shared" si="7"/>
        <v>Student Experience &amp; Campus</v>
      </c>
      <c r="Q65" s="15" t="str">
        <f t="shared" si="8"/>
        <v>Student Experience &amp; Campus</v>
      </c>
      <c r="R65" s="15" t="str">
        <f t="shared" si="9"/>
        <v>Engagement/Relationship</v>
      </c>
      <c r="S65" s="15" t="str">
        <f t="shared" si="10"/>
        <v>OK</v>
      </c>
      <c r="T65" s="15" t="str">
        <f t="shared" si="11"/>
        <v>OK</v>
      </c>
      <c r="U65" s="15" t="str">
        <f t="shared" si="12"/>
        <v>OK</v>
      </c>
      <c r="V65" s="15" t="str">
        <f t="shared" si="13"/>
        <v>OK</v>
      </c>
    </row>
    <row r="66" spans="1:22" ht="115.2" x14ac:dyDescent="0.3">
      <c r="A66" s="15" t="s">
        <v>239</v>
      </c>
      <c r="B66" s="15" t="s">
        <v>154</v>
      </c>
      <c r="C66" s="16">
        <v>45588</v>
      </c>
      <c r="D66" s="15" t="str">
        <f>IF(C66="","",TEXT(C66,"mmmm"))</f>
        <v>October</v>
      </c>
      <c r="E66" s="15">
        <f>IF(C66="","",YEAR(C66))</f>
        <v>2024</v>
      </c>
      <c r="F66" s="15" t="s">
        <v>240</v>
      </c>
      <c r="G66" s="15" t="s">
        <v>18</v>
      </c>
      <c r="H66" s="15" t="s">
        <v>19</v>
      </c>
      <c r="I66" s="15" t="s">
        <v>60</v>
      </c>
      <c r="J66" s="15" t="s">
        <v>34</v>
      </c>
      <c r="K66" s="15" t="s">
        <v>62</v>
      </c>
      <c r="L66" s="15" t="s">
        <v>19</v>
      </c>
      <c r="M66" s="17">
        <v>330</v>
      </c>
      <c r="N66" s="17">
        <v>1</v>
      </c>
      <c r="O66" s="15" t="s">
        <v>241</v>
      </c>
      <c r="P66" s="15" t="str">
        <f t="shared" ref="P66:P97" si="14">IF(OR(I66="Student Experience",I66="Campus Life",I66="Campus Facilities",I66="Student Clubs &amp; Organizations",I66="Events",I66="Student Support Services",I66="Diversity &amp; Inclusion",I66="International Students"),"Student Experience &amp; Campus",IF(OR(I66="Academic Programs",I66="Admissions",I66="Scholarships &amp; Financial Aid"),"Academic &amp; Admissions",IF(OR(I66="Career Opportunities",I66="Alumni Success"),"Career &amp; Alumni",IF(I66="Research &amp; Innovation","Research &amp; Innovation",IF(I66="Rankings &amp; Achievements","Institutional Reputation","Other")))))</f>
        <v>Academic &amp; Admissions</v>
      </c>
      <c r="Q66" s="15" t="str">
        <f t="shared" ref="Q66:Q97" si="15">IF(OR(J66="Student Experience",J66="Campus Life",J66="Campus Facilities",J66="Student Clubs &amp; Organizations",J66="Events",J66="Student Support Services",J66="Diversity &amp; Inclusion",J66="International Students"),"Student Experience &amp; Campus",IF(OR(J66="Academic Programs",J66="Admissions",J66="Scholarships &amp; Financial Aid"),"Academic &amp; Admissions",IF(OR(J66="Career Opportunities",J66="Alumni Success"),"Career &amp; Alumni",IF(J66="Research &amp; Innovation","Research &amp; Innovation",IF(J66="Rankings &amp; Achievements","Institutional Reputation","Other")))))</f>
        <v>Student Experience &amp; Campus</v>
      </c>
      <c r="R66" s="15" t="str">
        <f t="shared" ref="R66:R97" si="16">IF(K66="Informational","Informational",IF(OR(K66="Promotional",K66="Call-to-Action"),"Promotional/Conversion",IF(K66="Reputation Building","Reputation-focused","Engagement/Relationship")))</f>
        <v>Promotional/Conversion</v>
      </c>
      <c r="S66" s="15" t="str">
        <f t="shared" ref="S66:S97" si="17">IF(COUNTIF($A$2:$A$181,A66)&gt;1,"Duplicate","OK")</f>
        <v>OK</v>
      </c>
      <c r="T66" s="15" t="str">
        <f t="shared" ref="T66:T97" si="18">IF(COUNTIF($F$2:$F$181,F66)&gt;1,"Duplicate","OK")</f>
        <v>OK</v>
      </c>
      <c r="U66" s="15" t="str">
        <f t="shared" ref="U66:U97" si="19">IF(AND(TEXT(C66,"mmmm")=D66,YEAR(C66)=E66),"OK","Mismatch")</f>
        <v>OK</v>
      </c>
      <c r="V66" s="15" t="str">
        <f t="shared" ref="V66:V97" si="20">IF(OR(M66="NA",N66="NA"),"Likes/comments unavailable",IF(I66=J66,"Primary and secondary themes identical","OK"))</f>
        <v>OK</v>
      </c>
    </row>
    <row r="67" spans="1:22" ht="57.6" x14ac:dyDescent="0.3">
      <c r="A67" s="15" t="s">
        <v>242</v>
      </c>
      <c r="B67" s="15" t="s">
        <v>154</v>
      </c>
      <c r="C67" s="16">
        <v>45596</v>
      </c>
      <c r="D67" s="15" t="str">
        <f>IF(C67="","",TEXT(C67,"mmmm"))</f>
        <v>October</v>
      </c>
      <c r="E67" s="15">
        <f>IF(C67="","",YEAR(C67))</f>
        <v>2024</v>
      </c>
      <c r="F67" s="15" t="s">
        <v>243</v>
      </c>
      <c r="G67" s="15" t="s">
        <v>18</v>
      </c>
      <c r="H67" s="15" t="s">
        <v>19</v>
      </c>
      <c r="I67" s="15" t="s">
        <v>28</v>
      </c>
      <c r="J67" s="15" t="s">
        <v>124</v>
      </c>
      <c r="K67" s="15" t="s">
        <v>22</v>
      </c>
      <c r="L67" s="15" t="s">
        <v>19</v>
      </c>
      <c r="M67" s="17">
        <v>245</v>
      </c>
      <c r="N67" s="17">
        <v>2</v>
      </c>
      <c r="O67" s="15" t="s">
        <v>244</v>
      </c>
      <c r="P67" s="15" t="str">
        <f t="shared" si="14"/>
        <v>Academic &amp; Admissions</v>
      </c>
      <c r="Q67" s="15" t="str">
        <f t="shared" si="15"/>
        <v>Student Experience &amp; Campus</v>
      </c>
      <c r="R67" s="15" t="str">
        <f t="shared" si="16"/>
        <v>Engagement/Relationship</v>
      </c>
      <c r="S67" s="15" t="str">
        <f t="shared" si="17"/>
        <v>OK</v>
      </c>
      <c r="T67" s="15" t="str">
        <f t="shared" si="18"/>
        <v>OK</v>
      </c>
      <c r="U67" s="15" t="str">
        <f t="shared" si="19"/>
        <v>OK</v>
      </c>
      <c r="V67" s="15" t="str">
        <f t="shared" si="20"/>
        <v>OK</v>
      </c>
    </row>
    <row r="68" spans="1:22" ht="115.2" x14ac:dyDescent="0.3">
      <c r="A68" s="15" t="s">
        <v>245</v>
      </c>
      <c r="B68" s="15" t="s">
        <v>154</v>
      </c>
      <c r="C68" s="16">
        <v>45611</v>
      </c>
      <c r="D68" s="15" t="s">
        <v>608</v>
      </c>
      <c r="E68" s="15">
        <v>2024</v>
      </c>
      <c r="F68" s="15" t="s">
        <v>246</v>
      </c>
      <c r="G68" s="15" t="s">
        <v>18</v>
      </c>
      <c r="H68" s="15" t="s">
        <v>19</v>
      </c>
      <c r="I68" s="15" t="s">
        <v>60</v>
      </c>
      <c r="J68" s="15" t="s">
        <v>34</v>
      </c>
      <c r="K68" s="15" t="s">
        <v>62</v>
      </c>
      <c r="L68" s="15" t="s">
        <v>19</v>
      </c>
      <c r="M68" s="17">
        <v>191</v>
      </c>
      <c r="N68" s="17">
        <v>0</v>
      </c>
      <c r="O68" s="15" t="s">
        <v>247</v>
      </c>
      <c r="P68" s="15" t="str">
        <f t="shared" si="14"/>
        <v>Academic &amp; Admissions</v>
      </c>
      <c r="Q68" s="15" t="str">
        <f t="shared" si="15"/>
        <v>Student Experience &amp; Campus</v>
      </c>
      <c r="R68" s="15" t="str">
        <f t="shared" si="16"/>
        <v>Promotional/Conversion</v>
      </c>
      <c r="S68" s="15" t="str">
        <f t="shared" si="17"/>
        <v>OK</v>
      </c>
      <c r="T68" s="15" t="str">
        <f t="shared" si="18"/>
        <v>OK</v>
      </c>
      <c r="U68" s="15" t="str">
        <f t="shared" si="19"/>
        <v>OK</v>
      </c>
      <c r="V68" s="15" t="str">
        <f t="shared" si="20"/>
        <v>OK</v>
      </c>
    </row>
    <row r="69" spans="1:22" ht="57.6" x14ac:dyDescent="0.3">
      <c r="A69" s="15" t="s">
        <v>248</v>
      </c>
      <c r="B69" s="15" t="s">
        <v>154</v>
      </c>
      <c r="C69" s="16">
        <v>45615</v>
      </c>
      <c r="D69" s="15" t="str">
        <f>IF(C69="","",TEXT(C69,"mmmm"))</f>
        <v>November</v>
      </c>
      <c r="E69" s="15">
        <f>IF(C69="","",YEAR(C69))</f>
        <v>2024</v>
      </c>
      <c r="F69" s="15" t="s">
        <v>249</v>
      </c>
      <c r="G69" s="15" t="s">
        <v>18</v>
      </c>
      <c r="H69" s="15" t="s">
        <v>19</v>
      </c>
      <c r="I69" s="15" t="s">
        <v>60</v>
      </c>
      <c r="J69" s="15" t="s">
        <v>20</v>
      </c>
      <c r="K69" s="15" t="s">
        <v>43</v>
      </c>
      <c r="L69" s="15" t="s">
        <v>19</v>
      </c>
      <c r="M69" s="17">
        <v>833</v>
      </c>
      <c r="N69" s="17">
        <v>14</v>
      </c>
      <c r="O69" s="15" t="s">
        <v>250</v>
      </c>
      <c r="P69" s="15" t="str">
        <f t="shared" si="14"/>
        <v>Academic &amp; Admissions</v>
      </c>
      <c r="Q69" s="15" t="str">
        <f t="shared" si="15"/>
        <v>Student Experience &amp; Campus</v>
      </c>
      <c r="R69" s="15" t="str">
        <f t="shared" si="16"/>
        <v>Engagement/Relationship</v>
      </c>
      <c r="S69" s="15" t="str">
        <f t="shared" si="17"/>
        <v>OK</v>
      </c>
      <c r="T69" s="15" t="str">
        <f t="shared" si="18"/>
        <v>OK</v>
      </c>
      <c r="U69" s="15" t="str">
        <f t="shared" si="19"/>
        <v>OK</v>
      </c>
      <c r="V69" s="15" t="str">
        <f t="shared" si="20"/>
        <v>OK</v>
      </c>
    </row>
    <row r="70" spans="1:22" ht="57.6" x14ac:dyDescent="0.3">
      <c r="A70" s="15" t="s">
        <v>251</v>
      </c>
      <c r="B70" s="15" t="s">
        <v>154</v>
      </c>
      <c r="C70" s="16">
        <v>45618</v>
      </c>
      <c r="D70" s="15" t="str">
        <f>IF(C70="","",TEXT(C70,"mmmm"))</f>
        <v>November</v>
      </c>
      <c r="E70" s="15">
        <f>IF(C70="","",YEAR(C70))</f>
        <v>2024</v>
      </c>
      <c r="F70" s="15" t="s">
        <v>252</v>
      </c>
      <c r="G70" s="15" t="s">
        <v>47</v>
      </c>
      <c r="H70" s="15" t="s">
        <v>19</v>
      </c>
      <c r="I70" s="15" t="s">
        <v>20</v>
      </c>
      <c r="J70" s="15" t="s">
        <v>34</v>
      </c>
      <c r="K70" s="15" t="s">
        <v>55</v>
      </c>
      <c r="L70" s="15" t="s">
        <v>56</v>
      </c>
      <c r="M70" s="17">
        <v>2742</v>
      </c>
      <c r="N70" s="17">
        <v>70</v>
      </c>
      <c r="O70" s="15" t="s">
        <v>253</v>
      </c>
      <c r="P70" s="15" t="str">
        <f t="shared" si="14"/>
        <v>Student Experience &amp; Campus</v>
      </c>
      <c r="Q70" s="15" t="str">
        <f t="shared" si="15"/>
        <v>Student Experience &amp; Campus</v>
      </c>
      <c r="R70" s="15" t="str">
        <f t="shared" si="16"/>
        <v>Engagement/Relationship</v>
      </c>
      <c r="S70" s="15" t="str">
        <f t="shared" si="17"/>
        <v>OK</v>
      </c>
      <c r="T70" s="15" t="str">
        <f t="shared" si="18"/>
        <v>OK</v>
      </c>
      <c r="U70" s="15" t="str">
        <f t="shared" si="19"/>
        <v>OK</v>
      </c>
      <c r="V70" s="15" t="str">
        <f t="shared" si="20"/>
        <v>OK</v>
      </c>
    </row>
    <row r="71" spans="1:22" ht="72" x14ac:dyDescent="0.3">
      <c r="A71" s="15" t="s">
        <v>254</v>
      </c>
      <c r="B71" s="15" t="s">
        <v>154</v>
      </c>
      <c r="C71" s="16">
        <v>45636</v>
      </c>
      <c r="D71" s="15" t="s">
        <v>609</v>
      </c>
      <c r="E71" s="15">
        <v>2024</v>
      </c>
      <c r="F71" s="15" t="s">
        <v>255</v>
      </c>
      <c r="G71" s="15" t="s">
        <v>18</v>
      </c>
      <c r="H71" s="15" t="s">
        <v>19</v>
      </c>
      <c r="I71" s="15" t="s">
        <v>20</v>
      </c>
      <c r="J71" s="15" t="s">
        <v>28</v>
      </c>
      <c r="K71" s="15" t="s">
        <v>55</v>
      </c>
      <c r="L71" s="15" t="s">
        <v>56</v>
      </c>
      <c r="M71" s="17">
        <v>407</v>
      </c>
      <c r="N71" s="17">
        <v>12</v>
      </c>
      <c r="O71" s="15" t="s">
        <v>256</v>
      </c>
      <c r="P71" s="15" t="str">
        <f t="shared" si="14"/>
        <v>Student Experience &amp; Campus</v>
      </c>
      <c r="Q71" s="15" t="str">
        <f t="shared" si="15"/>
        <v>Academic &amp; Admissions</v>
      </c>
      <c r="R71" s="15" t="str">
        <f t="shared" si="16"/>
        <v>Engagement/Relationship</v>
      </c>
      <c r="S71" s="15" t="str">
        <f t="shared" si="17"/>
        <v>OK</v>
      </c>
      <c r="T71" s="15" t="str">
        <f t="shared" si="18"/>
        <v>OK</v>
      </c>
      <c r="U71" s="15" t="str">
        <f t="shared" si="19"/>
        <v>OK</v>
      </c>
      <c r="V71" s="15" t="str">
        <f t="shared" si="20"/>
        <v>OK</v>
      </c>
    </row>
    <row r="72" spans="1:22" ht="100.8" x14ac:dyDescent="0.3">
      <c r="A72" s="15" t="s">
        <v>257</v>
      </c>
      <c r="B72" s="15" t="s">
        <v>154</v>
      </c>
      <c r="C72" s="16">
        <v>45644</v>
      </c>
      <c r="D72" s="15" t="s">
        <v>609</v>
      </c>
      <c r="E72" s="15">
        <v>2024</v>
      </c>
      <c r="F72" s="15" t="s">
        <v>258</v>
      </c>
      <c r="G72" s="15" t="s">
        <v>47</v>
      </c>
      <c r="H72" s="15" t="s">
        <v>19</v>
      </c>
      <c r="I72" s="15" t="s">
        <v>21</v>
      </c>
      <c r="J72" s="15" t="s">
        <v>20</v>
      </c>
      <c r="K72" s="15" t="s">
        <v>22</v>
      </c>
      <c r="L72" s="15" t="s">
        <v>19</v>
      </c>
      <c r="M72" s="17">
        <v>1533</v>
      </c>
      <c r="N72" s="17">
        <v>0</v>
      </c>
      <c r="O72" s="15" t="s">
        <v>259</v>
      </c>
      <c r="P72" s="15" t="str">
        <f t="shared" si="14"/>
        <v>Student Experience &amp; Campus</v>
      </c>
      <c r="Q72" s="15" t="str">
        <f t="shared" si="15"/>
        <v>Student Experience &amp; Campus</v>
      </c>
      <c r="R72" s="15" t="str">
        <f t="shared" si="16"/>
        <v>Engagement/Relationship</v>
      </c>
      <c r="S72" s="15" t="str">
        <f t="shared" si="17"/>
        <v>OK</v>
      </c>
      <c r="T72" s="15" t="str">
        <f t="shared" si="18"/>
        <v>OK</v>
      </c>
      <c r="U72" s="15" t="str">
        <f t="shared" si="19"/>
        <v>OK</v>
      </c>
      <c r="V72" s="15" t="str">
        <f t="shared" si="20"/>
        <v>OK</v>
      </c>
    </row>
    <row r="73" spans="1:22" ht="115.2" x14ac:dyDescent="0.3">
      <c r="A73" s="15" t="s">
        <v>260</v>
      </c>
      <c r="B73" s="15" t="s">
        <v>154</v>
      </c>
      <c r="C73" s="16">
        <v>45649</v>
      </c>
      <c r="D73" s="15" t="s">
        <v>609</v>
      </c>
      <c r="E73" s="15">
        <v>2024</v>
      </c>
      <c r="F73" s="15" t="s">
        <v>261</v>
      </c>
      <c r="G73" s="15" t="s">
        <v>18</v>
      </c>
      <c r="H73" s="15" t="s">
        <v>19</v>
      </c>
      <c r="I73" s="15" t="s">
        <v>21</v>
      </c>
      <c r="J73" s="15" t="s">
        <v>20</v>
      </c>
      <c r="K73" s="15" t="s">
        <v>22</v>
      </c>
      <c r="L73" s="15" t="s">
        <v>56</v>
      </c>
      <c r="M73" s="17">
        <v>745</v>
      </c>
      <c r="N73" s="17">
        <v>0</v>
      </c>
      <c r="O73" s="15" t="s">
        <v>262</v>
      </c>
      <c r="P73" s="15" t="str">
        <f t="shared" si="14"/>
        <v>Student Experience &amp; Campus</v>
      </c>
      <c r="Q73" s="15" t="str">
        <f t="shared" si="15"/>
        <v>Student Experience &amp; Campus</v>
      </c>
      <c r="R73" s="15" t="str">
        <f t="shared" si="16"/>
        <v>Engagement/Relationship</v>
      </c>
      <c r="S73" s="15" t="str">
        <f t="shared" si="17"/>
        <v>OK</v>
      </c>
      <c r="T73" s="15" t="str">
        <f t="shared" si="18"/>
        <v>OK</v>
      </c>
      <c r="U73" s="15" t="str">
        <f t="shared" si="19"/>
        <v>OK</v>
      </c>
      <c r="V73" s="15" t="str">
        <f t="shared" si="20"/>
        <v>OK</v>
      </c>
    </row>
    <row r="74" spans="1:22" ht="72" x14ac:dyDescent="0.3">
      <c r="A74" s="15" t="s">
        <v>263</v>
      </c>
      <c r="B74" s="15" t="s">
        <v>264</v>
      </c>
      <c r="C74" s="16">
        <v>45660</v>
      </c>
      <c r="D74" s="15" t="str">
        <f>IF(C74="","",TEXT(C74,"mmmm"))</f>
        <v>January</v>
      </c>
      <c r="E74" s="15">
        <f>IF(C74="","",YEAR(C74))</f>
        <v>2025</v>
      </c>
      <c r="F74" s="15" t="s">
        <v>265</v>
      </c>
      <c r="G74" s="15" t="s">
        <v>18</v>
      </c>
      <c r="H74" s="15" t="s">
        <v>19</v>
      </c>
      <c r="I74" s="15" t="s">
        <v>20</v>
      </c>
      <c r="J74" s="15" t="s">
        <v>28</v>
      </c>
      <c r="K74" s="15" t="s">
        <v>22</v>
      </c>
      <c r="L74" s="15" t="s">
        <v>56</v>
      </c>
      <c r="M74" s="17">
        <v>781</v>
      </c>
      <c r="N74" s="17">
        <v>14</v>
      </c>
      <c r="O74" s="15" t="s">
        <v>266</v>
      </c>
      <c r="P74" s="15" t="str">
        <f t="shared" si="14"/>
        <v>Student Experience &amp; Campus</v>
      </c>
      <c r="Q74" s="15" t="str">
        <f t="shared" si="15"/>
        <v>Academic &amp; Admissions</v>
      </c>
      <c r="R74" s="15" t="str">
        <f t="shared" si="16"/>
        <v>Engagement/Relationship</v>
      </c>
      <c r="S74" s="15" t="str">
        <f t="shared" si="17"/>
        <v>OK</v>
      </c>
      <c r="T74" s="15" t="str">
        <f t="shared" si="18"/>
        <v>OK</v>
      </c>
      <c r="U74" s="15" t="str">
        <f t="shared" si="19"/>
        <v>OK</v>
      </c>
      <c r="V74" s="15" t="str">
        <f t="shared" si="20"/>
        <v>OK</v>
      </c>
    </row>
    <row r="75" spans="1:22" ht="57.6" x14ac:dyDescent="0.3">
      <c r="A75" s="15" t="s">
        <v>267</v>
      </c>
      <c r="B75" s="15" t="s">
        <v>264</v>
      </c>
      <c r="C75" s="16">
        <v>45667</v>
      </c>
      <c r="D75" s="15" t="s">
        <v>599</v>
      </c>
      <c r="E75" s="15">
        <v>2025</v>
      </c>
      <c r="F75" s="15" t="s">
        <v>268</v>
      </c>
      <c r="G75" s="15" t="s">
        <v>18</v>
      </c>
      <c r="H75" s="15" t="s">
        <v>19</v>
      </c>
      <c r="I75" s="15" t="s">
        <v>20</v>
      </c>
      <c r="J75" s="15" t="s">
        <v>60</v>
      </c>
      <c r="K75" s="15" t="s">
        <v>66</v>
      </c>
      <c r="L75" s="15" t="s">
        <v>19</v>
      </c>
      <c r="M75" s="17">
        <v>316</v>
      </c>
      <c r="N75" s="17">
        <v>8</v>
      </c>
      <c r="O75" s="15" t="s">
        <v>269</v>
      </c>
      <c r="P75" s="15" t="str">
        <f t="shared" si="14"/>
        <v>Student Experience &amp; Campus</v>
      </c>
      <c r="Q75" s="15" t="str">
        <f t="shared" si="15"/>
        <v>Academic &amp; Admissions</v>
      </c>
      <c r="R75" s="15" t="str">
        <f t="shared" si="16"/>
        <v>Promotional/Conversion</v>
      </c>
      <c r="S75" s="15" t="str">
        <f t="shared" si="17"/>
        <v>OK</v>
      </c>
      <c r="T75" s="15" t="str">
        <f t="shared" si="18"/>
        <v>OK</v>
      </c>
      <c r="U75" s="15" t="str">
        <f t="shared" si="19"/>
        <v>OK</v>
      </c>
      <c r="V75" s="15" t="str">
        <f t="shared" si="20"/>
        <v>OK</v>
      </c>
    </row>
    <row r="76" spans="1:22" ht="100.8" x14ac:dyDescent="0.3">
      <c r="A76" s="15" t="s">
        <v>270</v>
      </c>
      <c r="B76" s="15" t="s">
        <v>264</v>
      </c>
      <c r="C76" s="16">
        <v>45685</v>
      </c>
      <c r="D76" s="15" t="s">
        <v>599</v>
      </c>
      <c r="E76" s="15">
        <v>2025</v>
      </c>
      <c r="F76" s="15" t="s">
        <v>271</v>
      </c>
      <c r="G76" s="15" t="s">
        <v>18</v>
      </c>
      <c r="H76" s="15" t="s">
        <v>19</v>
      </c>
      <c r="I76" s="15" t="s">
        <v>60</v>
      </c>
      <c r="J76" s="15" t="s">
        <v>124</v>
      </c>
      <c r="K76" s="15" t="s">
        <v>66</v>
      </c>
      <c r="L76" s="15" t="s">
        <v>19</v>
      </c>
      <c r="M76" s="17">
        <v>220</v>
      </c>
      <c r="N76" s="17">
        <v>15</v>
      </c>
      <c r="O76" s="15" t="s">
        <v>272</v>
      </c>
      <c r="P76" s="15" t="str">
        <f t="shared" si="14"/>
        <v>Academic &amp; Admissions</v>
      </c>
      <c r="Q76" s="15" t="str">
        <f t="shared" si="15"/>
        <v>Student Experience &amp; Campus</v>
      </c>
      <c r="R76" s="15" t="str">
        <f t="shared" si="16"/>
        <v>Promotional/Conversion</v>
      </c>
      <c r="S76" s="15" t="str">
        <f t="shared" si="17"/>
        <v>OK</v>
      </c>
      <c r="T76" s="15" t="str">
        <f t="shared" si="18"/>
        <v>OK</v>
      </c>
      <c r="U76" s="15" t="str">
        <f t="shared" si="19"/>
        <v>OK</v>
      </c>
      <c r="V76" s="15" t="str">
        <f t="shared" si="20"/>
        <v>OK</v>
      </c>
    </row>
    <row r="77" spans="1:22" ht="57.6" x14ac:dyDescent="0.3">
      <c r="A77" s="15" t="s">
        <v>273</v>
      </c>
      <c r="B77" s="15" t="s">
        <v>264</v>
      </c>
      <c r="C77" s="16">
        <v>45701</v>
      </c>
      <c r="D77" s="15" t="s">
        <v>600</v>
      </c>
      <c r="E77" s="15">
        <v>2025</v>
      </c>
      <c r="F77" s="15" t="s">
        <v>274</v>
      </c>
      <c r="G77" s="15" t="s">
        <v>18</v>
      </c>
      <c r="H77" s="15" t="s">
        <v>19</v>
      </c>
      <c r="I77" s="15" t="s">
        <v>48</v>
      </c>
      <c r="J77" s="15" t="s">
        <v>61</v>
      </c>
      <c r="K77" s="15" t="s">
        <v>22</v>
      </c>
      <c r="L77" s="15" t="s">
        <v>56</v>
      </c>
      <c r="M77" s="17">
        <v>260</v>
      </c>
      <c r="N77" s="17">
        <v>10</v>
      </c>
      <c r="O77" s="15" t="s">
        <v>275</v>
      </c>
      <c r="P77" s="15" t="str">
        <f t="shared" si="14"/>
        <v>Student Experience &amp; Campus</v>
      </c>
      <c r="Q77" s="15" t="str">
        <f t="shared" si="15"/>
        <v>Student Experience &amp; Campus</v>
      </c>
      <c r="R77" s="15" t="str">
        <f t="shared" si="16"/>
        <v>Engagement/Relationship</v>
      </c>
      <c r="S77" s="15" t="str">
        <f t="shared" si="17"/>
        <v>OK</v>
      </c>
      <c r="T77" s="15" t="str">
        <f t="shared" si="18"/>
        <v>OK</v>
      </c>
      <c r="U77" s="15" t="str">
        <f t="shared" si="19"/>
        <v>OK</v>
      </c>
      <c r="V77" s="15" t="str">
        <f t="shared" si="20"/>
        <v>OK</v>
      </c>
    </row>
    <row r="78" spans="1:22" ht="57.6" x14ac:dyDescent="0.3">
      <c r="A78" s="15" t="s">
        <v>276</v>
      </c>
      <c r="B78" s="15" t="s">
        <v>264</v>
      </c>
      <c r="C78" s="16">
        <v>45709</v>
      </c>
      <c r="D78" s="15" t="s">
        <v>600</v>
      </c>
      <c r="E78" s="15">
        <v>2025</v>
      </c>
      <c r="F78" s="15" t="s">
        <v>277</v>
      </c>
      <c r="G78" s="15" t="s">
        <v>18</v>
      </c>
      <c r="H78" s="15" t="s">
        <v>19</v>
      </c>
      <c r="I78" s="15" t="s">
        <v>20</v>
      </c>
      <c r="J78" s="15" t="s">
        <v>21</v>
      </c>
      <c r="K78" s="15" t="s">
        <v>35</v>
      </c>
      <c r="L78" s="15" t="s">
        <v>19</v>
      </c>
      <c r="M78" s="17">
        <v>469</v>
      </c>
      <c r="N78" s="17">
        <v>8</v>
      </c>
      <c r="O78" s="15" t="s">
        <v>278</v>
      </c>
      <c r="P78" s="15" t="str">
        <f t="shared" si="14"/>
        <v>Student Experience &amp; Campus</v>
      </c>
      <c r="Q78" s="15" t="str">
        <f t="shared" si="15"/>
        <v>Student Experience &amp; Campus</v>
      </c>
      <c r="R78" s="15" t="str">
        <f t="shared" si="16"/>
        <v>Engagement/Relationship</v>
      </c>
      <c r="S78" s="15" t="str">
        <f t="shared" si="17"/>
        <v>OK</v>
      </c>
      <c r="T78" s="15" t="str">
        <f t="shared" si="18"/>
        <v>OK</v>
      </c>
      <c r="U78" s="15" t="str">
        <f t="shared" si="19"/>
        <v>OK</v>
      </c>
      <c r="V78" s="15" t="str">
        <f t="shared" si="20"/>
        <v>OK</v>
      </c>
    </row>
    <row r="79" spans="1:22" ht="57.6" x14ac:dyDescent="0.3">
      <c r="A79" s="15" t="s">
        <v>279</v>
      </c>
      <c r="B79" s="15" t="s">
        <v>264</v>
      </c>
      <c r="C79" s="16">
        <v>45715</v>
      </c>
      <c r="D79" s="15" t="s">
        <v>600</v>
      </c>
      <c r="E79" s="15">
        <v>2025</v>
      </c>
      <c r="F79" s="15" t="s">
        <v>280</v>
      </c>
      <c r="G79" s="15" t="s">
        <v>18</v>
      </c>
      <c r="H79" s="15" t="s">
        <v>19</v>
      </c>
      <c r="I79" s="15" t="s">
        <v>70</v>
      </c>
      <c r="J79" s="15" t="s">
        <v>21</v>
      </c>
      <c r="K79" s="15" t="s">
        <v>29</v>
      </c>
      <c r="L79" s="15" t="s">
        <v>56</v>
      </c>
      <c r="M79" s="17">
        <v>1532</v>
      </c>
      <c r="N79" s="17">
        <v>9</v>
      </c>
      <c r="O79" s="15" t="s">
        <v>281</v>
      </c>
      <c r="P79" s="15" t="str">
        <f t="shared" si="14"/>
        <v>Student Experience &amp; Campus</v>
      </c>
      <c r="Q79" s="15" t="str">
        <f t="shared" si="15"/>
        <v>Student Experience &amp; Campus</v>
      </c>
      <c r="R79" s="15" t="str">
        <f t="shared" si="16"/>
        <v>Reputation-focused</v>
      </c>
      <c r="S79" s="15" t="str">
        <f t="shared" si="17"/>
        <v>OK</v>
      </c>
      <c r="T79" s="15" t="str">
        <f t="shared" si="18"/>
        <v>OK</v>
      </c>
      <c r="U79" s="15" t="str">
        <f t="shared" si="19"/>
        <v>OK</v>
      </c>
      <c r="V79" s="15" t="str">
        <f t="shared" si="20"/>
        <v>OK</v>
      </c>
    </row>
    <row r="80" spans="1:22" ht="57.6" x14ac:dyDescent="0.3">
      <c r="A80" s="15" t="s">
        <v>282</v>
      </c>
      <c r="B80" s="15" t="s">
        <v>264</v>
      </c>
      <c r="C80" s="16">
        <v>45723</v>
      </c>
      <c r="D80" s="15" t="s">
        <v>601</v>
      </c>
      <c r="E80" s="15">
        <v>2025</v>
      </c>
      <c r="F80" s="15" t="s">
        <v>283</v>
      </c>
      <c r="G80" s="15" t="s">
        <v>18</v>
      </c>
      <c r="H80" s="15" t="s">
        <v>19</v>
      </c>
      <c r="I80" s="15" t="s">
        <v>21</v>
      </c>
      <c r="J80" s="15" t="s">
        <v>20</v>
      </c>
      <c r="K80" s="15" t="s">
        <v>35</v>
      </c>
      <c r="L80" s="15" t="s">
        <v>19</v>
      </c>
      <c r="M80" s="17">
        <v>294</v>
      </c>
      <c r="N80" s="17">
        <v>2</v>
      </c>
      <c r="O80" s="15" t="s">
        <v>284</v>
      </c>
      <c r="P80" s="15" t="str">
        <f t="shared" si="14"/>
        <v>Student Experience &amp; Campus</v>
      </c>
      <c r="Q80" s="15" t="str">
        <f t="shared" si="15"/>
        <v>Student Experience &amp; Campus</v>
      </c>
      <c r="R80" s="15" t="str">
        <f t="shared" si="16"/>
        <v>Engagement/Relationship</v>
      </c>
      <c r="S80" s="15" t="str">
        <f t="shared" si="17"/>
        <v>OK</v>
      </c>
      <c r="T80" s="15" t="str">
        <f t="shared" si="18"/>
        <v>OK</v>
      </c>
      <c r="U80" s="15" t="str">
        <f t="shared" si="19"/>
        <v>OK</v>
      </c>
      <c r="V80" s="15" t="str">
        <f t="shared" si="20"/>
        <v>OK</v>
      </c>
    </row>
    <row r="81" spans="1:22" ht="86.4" x14ac:dyDescent="0.3">
      <c r="A81" s="15" t="s">
        <v>285</v>
      </c>
      <c r="B81" s="15" t="s">
        <v>264</v>
      </c>
      <c r="C81" s="16">
        <v>45734</v>
      </c>
      <c r="D81" s="15" t="s">
        <v>601</v>
      </c>
      <c r="E81" s="15">
        <v>2025</v>
      </c>
      <c r="F81" s="15" t="s">
        <v>286</v>
      </c>
      <c r="G81" s="15" t="s">
        <v>18</v>
      </c>
      <c r="H81" s="15" t="s">
        <v>19</v>
      </c>
      <c r="I81" s="15" t="s">
        <v>20</v>
      </c>
      <c r="J81" s="15" t="s">
        <v>101</v>
      </c>
      <c r="K81" s="15" t="s">
        <v>43</v>
      </c>
      <c r="L81" s="15" t="s">
        <v>56</v>
      </c>
      <c r="M81" s="17">
        <v>257</v>
      </c>
      <c r="N81" s="17">
        <v>7</v>
      </c>
      <c r="O81" s="15" t="s">
        <v>287</v>
      </c>
      <c r="P81" s="15" t="str">
        <f t="shared" si="14"/>
        <v>Student Experience &amp; Campus</v>
      </c>
      <c r="Q81" s="15" t="str">
        <f t="shared" si="15"/>
        <v>Career &amp; Alumni</v>
      </c>
      <c r="R81" s="15" t="str">
        <f t="shared" si="16"/>
        <v>Engagement/Relationship</v>
      </c>
      <c r="S81" s="15" t="str">
        <f t="shared" si="17"/>
        <v>OK</v>
      </c>
      <c r="T81" s="15" t="str">
        <f t="shared" si="18"/>
        <v>OK</v>
      </c>
      <c r="U81" s="15" t="str">
        <f t="shared" si="19"/>
        <v>OK</v>
      </c>
      <c r="V81" s="15" t="str">
        <f t="shared" si="20"/>
        <v>OK</v>
      </c>
    </row>
    <row r="82" spans="1:22" ht="57.6" x14ac:dyDescent="0.3">
      <c r="A82" s="15" t="s">
        <v>288</v>
      </c>
      <c r="B82" s="15" t="s">
        <v>264</v>
      </c>
      <c r="C82" s="16">
        <v>45743</v>
      </c>
      <c r="D82" s="15" t="s">
        <v>601</v>
      </c>
      <c r="E82" s="15">
        <v>2025</v>
      </c>
      <c r="F82" s="15" t="s">
        <v>289</v>
      </c>
      <c r="G82" s="15" t="s">
        <v>47</v>
      </c>
      <c r="H82" s="15" t="s">
        <v>19</v>
      </c>
      <c r="I82" s="15" t="s">
        <v>101</v>
      </c>
      <c r="J82" s="15" t="s">
        <v>20</v>
      </c>
      <c r="K82" s="15" t="s">
        <v>66</v>
      </c>
      <c r="L82" s="15" t="s">
        <v>56</v>
      </c>
      <c r="M82" s="17">
        <v>775</v>
      </c>
      <c r="N82" s="17">
        <v>3</v>
      </c>
      <c r="O82" s="15" t="s">
        <v>290</v>
      </c>
      <c r="P82" s="15" t="str">
        <f t="shared" si="14"/>
        <v>Career &amp; Alumni</v>
      </c>
      <c r="Q82" s="15" t="str">
        <f t="shared" si="15"/>
        <v>Student Experience &amp; Campus</v>
      </c>
      <c r="R82" s="15" t="str">
        <f t="shared" si="16"/>
        <v>Promotional/Conversion</v>
      </c>
      <c r="S82" s="15" t="str">
        <f t="shared" si="17"/>
        <v>OK</v>
      </c>
      <c r="T82" s="15" t="str">
        <f t="shared" si="18"/>
        <v>OK</v>
      </c>
      <c r="U82" s="15" t="str">
        <f t="shared" si="19"/>
        <v>OK</v>
      </c>
      <c r="V82" s="15" t="str">
        <f t="shared" si="20"/>
        <v>OK</v>
      </c>
    </row>
    <row r="83" spans="1:22" ht="72" x14ac:dyDescent="0.3">
      <c r="A83" s="15" t="s">
        <v>291</v>
      </c>
      <c r="B83" s="15" t="s">
        <v>264</v>
      </c>
      <c r="C83" s="16">
        <v>45752</v>
      </c>
      <c r="D83" s="15" t="s">
        <v>602</v>
      </c>
      <c r="E83" s="15">
        <v>2025</v>
      </c>
      <c r="F83" s="15" t="s">
        <v>292</v>
      </c>
      <c r="G83" s="15" t="s">
        <v>47</v>
      </c>
      <c r="H83" s="15" t="s">
        <v>19</v>
      </c>
      <c r="I83" s="15" t="s">
        <v>48</v>
      </c>
      <c r="J83" s="15" t="s">
        <v>20</v>
      </c>
      <c r="K83" s="15" t="s">
        <v>22</v>
      </c>
      <c r="L83" s="15" t="s">
        <v>56</v>
      </c>
      <c r="M83" s="17">
        <v>752</v>
      </c>
      <c r="N83" s="17">
        <v>8</v>
      </c>
      <c r="O83" s="15" t="s">
        <v>293</v>
      </c>
      <c r="P83" s="15" t="str">
        <f t="shared" si="14"/>
        <v>Student Experience &amp; Campus</v>
      </c>
      <c r="Q83" s="15" t="str">
        <f t="shared" si="15"/>
        <v>Student Experience &amp; Campus</v>
      </c>
      <c r="R83" s="15" t="str">
        <f t="shared" si="16"/>
        <v>Engagement/Relationship</v>
      </c>
      <c r="S83" s="15" t="str">
        <f t="shared" si="17"/>
        <v>OK</v>
      </c>
      <c r="T83" s="15" t="str">
        <f t="shared" si="18"/>
        <v>OK</v>
      </c>
      <c r="U83" s="15" t="str">
        <f t="shared" si="19"/>
        <v>OK</v>
      </c>
      <c r="V83" s="15" t="str">
        <f t="shared" si="20"/>
        <v>OK</v>
      </c>
    </row>
    <row r="84" spans="1:22" ht="57.6" x14ac:dyDescent="0.3">
      <c r="A84" s="15" t="s">
        <v>294</v>
      </c>
      <c r="B84" s="15" t="s">
        <v>264</v>
      </c>
      <c r="C84" s="16">
        <v>45762</v>
      </c>
      <c r="D84" s="15" t="s">
        <v>602</v>
      </c>
      <c r="E84" s="15">
        <v>2025</v>
      </c>
      <c r="F84" s="15" t="s">
        <v>295</v>
      </c>
      <c r="G84" s="15" t="s">
        <v>47</v>
      </c>
      <c r="H84" s="15" t="s">
        <v>19</v>
      </c>
      <c r="I84" s="15" t="s">
        <v>20</v>
      </c>
      <c r="J84" s="15" t="s">
        <v>162</v>
      </c>
      <c r="K84" s="15" t="s">
        <v>66</v>
      </c>
      <c r="L84" s="15" t="s">
        <v>56</v>
      </c>
      <c r="M84" s="17">
        <v>1280</v>
      </c>
      <c r="N84" s="17">
        <v>6</v>
      </c>
      <c r="O84" s="15" t="s">
        <v>296</v>
      </c>
      <c r="P84" s="15" t="str">
        <f t="shared" si="14"/>
        <v>Student Experience &amp; Campus</v>
      </c>
      <c r="Q84" s="15" t="str">
        <f t="shared" si="15"/>
        <v>Student Experience &amp; Campus</v>
      </c>
      <c r="R84" s="15" t="str">
        <f t="shared" si="16"/>
        <v>Promotional/Conversion</v>
      </c>
      <c r="S84" s="15" t="str">
        <f t="shared" si="17"/>
        <v>OK</v>
      </c>
      <c r="T84" s="15" t="str">
        <f t="shared" si="18"/>
        <v>OK</v>
      </c>
      <c r="U84" s="15" t="str">
        <f t="shared" si="19"/>
        <v>OK</v>
      </c>
      <c r="V84" s="15" t="str">
        <f t="shared" si="20"/>
        <v>OK</v>
      </c>
    </row>
    <row r="85" spans="1:22" ht="86.4" x14ac:dyDescent="0.3">
      <c r="A85" s="15" t="s">
        <v>297</v>
      </c>
      <c r="B85" s="15" t="s">
        <v>264</v>
      </c>
      <c r="C85" s="16">
        <v>45776</v>
      </c>
      <c r="D85" s="15" t="s">
        <v>602</v>
      </c>
      <c r="E85" s="15">
        <v>2025</v>
      </c>
      <c r="F85" s="15" t="s">
        <v>298</v>
      </c>
      <c r="G85" s="15" t="s">
        <v>18</v>
      </c>
      <c r="H85" s="15" t="s">
        <v>19</v>
      </c>
      <c r="I85" s="15" t="s">
        <v>70</v>
      </c>
      <c r="J85" s="15" t="s">
        <v>60</v>
      </c>
      <c r="K85" s="15" t="s">
        <v>66</v>
      </c>
      <c r="L85" s="15" t="s">
        <v>19</v>
      </c>
      <c r="M85" s="17">
        <v>551</v>
      </c>
      <c r="N85" s="17">
        <v>23</v>
      </c>
      <c r="O85" s="15" t="s">
        <v>299</v>
      </c>
      <c r="P85" s="15" t="str">
        <f t="shared" si="14"/>
        <v>Student Experience &amp; Campus</v>
      </c>
      <c r="Q85" s="15" t="str">
        <f t="shared" si="15"/>
        <v>Academic &amp; Admissions</v>
      </c>
      <c r="R85" s="15" t="str">
        <f t="shared" si="16"/>
        <v>Promotional/Conversion</v>
      </c>
      <c r="S85" s="15" t="str">
        <f t="shared" si="17"/>
        <v>OK</v>
      </c>
      <c r="T85" s="15" t="str">
        <f t="shared" si="18"/>
        <v>OK</v>
      </c>
      <c r="U85" s="15" t="str">
        <f t="shared" si="19"/>
        <v>OK</v>
      </c>
      <c r="V85" s="15" t="str">
        <f t="shared" si="20"/>
        <v>OK</v>
      </c>
    </row>
    <row r="86" spans="1:22" ht="86.4" x14ac:dyDescent="0.3">
      <c r="A86" s="15" t="s">
        <v>300</v>
      </c>
      <c r="B86" s="15" t="s">
        <v>264</v>
      </c>
      <c r="C86" s="16">
        <v>45788</v>
      </c>
      <c r="D86" s="15" t="s">
        <v>603</v>
      </c>
      <c r="E86" s="15">
        <v>2025</v>
      </c>
      <c r="F86" s="15" t="s">
        <v>301</v>
      </c>
      <c r="G86" s="15" t="s">
        <v>18</v>
      </c>
      <c r="H86" s="15" t="s">
        <v>19</v>
      </c>
      <c r="I86" s="15" t="s">
        <v>20</v>
      </c>
      <c r="J86" s="15" t="s">
        <v>48</v>
      </c>
      <c r="K86" s="15" t="s">
        <v>22</v>
      </c>
      <c r="L86" s="15" t="s">
        <v>19</v>
      </c>
      <c r="M86" s="17">
        <v>348</v>
      </c>
      <c r="N86" s="17">
        <v>14</v>
      </c>
      <c r="O86" s="15" t="s">
        <v>302</v>
      </c>
      <c r="P86" s="15" t="str">
        <f t="shared" si="14"/>
        <v>Student Experience &amp; Campus</v>
      </c>
      <c r="Q86" s="15" t="str">
        <f t="shared" si="15"/>
        <v>Student Experience &amp; Campus</v>
      </c>
      <c r="R86" s="15" t="str">
        <f t="shared" si="16"/>
        <v>Engagement/Relationship</v>
      </c>
      <c r="S86" s="15" t="str">
        <f t="shared" si="17"/>
        <v>OK</v>
      </c>
      <c r="T86" s="15" t="str">
        <f t="shared" si="18"/>
        <v>OK</v>
      </c>
      <c r="U86" s="15" t="str">
        <f t="shared" si="19"/>
        <v>OK</v>
      </c>
      <c r="V86" s="15" t="str">
        <f t="shared" si="20"/>
        <v>OK</v>
      </c>
    </row>
    <row r="87" spans="1:22" ht="57.6" x14ac:dyDescent="0.3">
      <c r="A87" s="15" t="s">
        <v>303</v>
      </c>
      <c r="B87" s="15" t="s">
        <v>264</v>
      </c>
      <c r="C87" s="16">
        <v>45797</v>
      </c>
      <c r="D87" s="15" t="str">
        <f>IF(C87="","",TEXT(C87,"mmmm"))</f>
        <v>May</v>
      </c>
      <c r="E87" s="15">
        <v>2025</v>
      </c>
      <c r="F87" s="15" t="s">
        <v>304</v>
      </c>
      <c r="G87" s="15" t="s">
        <v>18</v>
      </c>
      <c r="H87" s="15" t="s">
        <v>19</v>
      </c>
      <c r="I87" s="15" t="s">
        <v>20</v>
      </c>
      <c r="J87" s="15" t="s">
        <v>162</v>
      </c>
      <c r="K87" s="15" t="s">
        <v>35</v>
      </c>
      <c r="L87" s="15" t="s">
        <v>19</v>
      </c>
      <c r="M87" s="17">
        <v>294</v>
      </c>
      <c r="N87" s="17">
        <v>6</v>
      </c>
      <c r="O87" s="15" t="s">
        <v>305</v>
      </c>
      <c r="P87" s="15" t="str">
        <f t="shared" si="14"/>
        <v>Student Experience &amp; Campus</v>
      </c>
      <c r="Q87" s="15" t="str">
        <f t="shared" si="15"/>
        <v>Student Experience &amp; Campus</v>
      </c>
      <c r="R87" s="15" t="str">
        <f t="shared" si="16"/>
        <v>Engagement/Relationship</v>
      </c>
      <c r="S87" s="15" t="str">
        <f t="shared" si="17"/>
        <v>OK</v>
      </c>
      <c r="T87" s="15" t="str">
        <f t="shared" si="18"/>
        <v>OK</v>
      </c>
      <c r="U87" s="15" t="str">
        <f t="shared" si="19"/>
        <v>OK</v>
      </c>
      <c r="V87" s="15" t="str">
        <f t="shared" si="20"/>
        <v>OK</v>
      </c>
    </row>
    <row r="88" spans="1:22" ht="57.6" x14ac:dyDescent="0.3">
      <c r="A88" s="15" t="s">
        <v>306</v>
      </c>
      <c r="B88" s="15" t="s">
        <v>264</v>
      </c>
      <c r="C88" s="16">
        <v>45792</v>
      </c>
      <c r="D88" s="15" t="str">
        <f>IF(C88="","",TEXT(C88,"mmmm"))</f>
        <v>May</v>
      </c>
      <c r="E88" s="15">
        <f>IF(C88="","",YEAR(C88))</f>
        <v>2025</v>
      </c>
      <c r="F88" s="15" t="s">
        <v>307</v>
      </c>
      <c r="G88" s="15" t="s">
        <v>18</v>
      </c>
      <c r="H88" s="15" t="s">
        <v>19</v>
      </c>
      <c r="I88" s="15" t="s">
        <v>33</v>
      </c>
      <c r="J88" s="15" t="s">
        <v>27</v>
      </c>
      <c r="K88" s="15" t="s">
        <v>55</v>
      </c>
      <c r="L88" s="15" t="s">
        <v>56</v>
      </c>
      <c r="M88" s="17" t="s">
        <v>308</v>
      </c>
      <c r="N88" s="17" t="s">
        <v>308</v>
      </c>
      <c r="O88" s="15" t="s">
        <v>309</v>
      </c>
      <c r="P88" s="15" t="str">
        <f t="shared" si="14"/>
        <v>Career &amp; Alumni</v>
      </c>
      <c r="Q88" s="15" t="str">
        <f t="shared" si="15"/>
        <v>Institutional Reputation</v>
      </c>
      <c r="R88" s="15" t="str">
        <f t="shared" si="16"/>
        <v>Engagement/Relationship</v>
      </c>
      <c r="S88" s="15" t="str">
        <f t="shared" si="17"/>
        <v>OK</v>
      </c>
      <c r="T88" s="15" t="str">
        <f t="shared" si="18"/>
        <v>OK</v>
      </c>
      <c r="U88" s="15" t="str">
        <f t="shared" si="19"/>
        <v>OK</v>
      </c>
      <c r="V88" s="15" t="str">
        <f t="shared" si="20"/>
        <v>Likes/comments unavailable</v>
      </c>
    </row>
    <row r="89" spans="1:22" ht="72" x14ac:dyDescent="0.3">
      <c r="A89" s="15" t="s">
        <v>310</v>
      </c>
      <c r="B89" s="15" t="s">
        <v>264</v>
      </c>
      <c r="C89" s="16">
        <v>45825</v>
      </c>
      <c r="D89" s="15" t="s">
        <v>88</v>
      </c>
      <c r="E89" s="15">
        <v>2025</v>
      </c>
      <c r="F89" s="15" t="s">
        <v>311</v>
      </c>
      <c r="G89" s="15" t="s">
        <v>26</v>
      </c>
      <c r="H89" s="15" t="s">
        <v>19</v>
      </c>
      <c r="I89" s="15" t="s">
        <v>20</v>
      </c>
      <c r="J89" s="15" t="s">
        <v>34</v>
      </c>
      <c r="K89" s="15" t="s">
        <v>55</v>
      </c>
      <c r="L89" s="15" t="s">
        <v>56</v>
      </c>
      <c r="M89" s="17">
        <v>1217</v>
      </c>
      <c r="N89" s="17">
        <v>10</v>
      </c>
      <c r="O89" s="15" t="s">
        <v>312</v>
      </c>
      <c r="P89" s="15" t="str">
        <f t="shared" si="14"/>
        <v>Student Experience &amp; Campus</v>
      </c>
      <c r="Q89" s="15" t="str">
        <f t="shared" si="15"/>
        <v>Student Experience &amp; Campus</v>
      </c>
      <c r="R89" s="15" t="str">
        <f t="shared" si="16"/>
        <v>Engagement/Relationship</v>
      </c>
      <c r="S89" s="15" t="str">
        <f t="shared" si="17"/>
        <v>OK</v>
      </c>
      <c r="T89" s="15" t="str">
        <f t="shared" si="18"/>
        <v>OK</v>
      </c>
      <c r="U89" s="15" t="str">
        <f t="shared" si="19"/>
        <v>OK</v>
      </c>
      <c r="V89" s="15" t="str">
        <f t="shared" si="20"/>
        <v>OK</v>
      </c>
    </row>
    <row r="90" spans="1:22" ht="72" x14ac:dyDescent="0.3">
      <c r="A90" s="15" t="s">
        <v>313</v>
      </c>
      <c r="B90" s="15" t="s">
        <v>264</v>
      </c>
      <c r="C90" s="16">
        <v>45827</v>
      </c>
      <c r="D90" s="15" t="s">
        <v>88</v>
      </c>
      <c r="E90" s="15">
        <v>2025</v>
      </c>
      <c r="F90" s="15" t="s">
        <v>314</v>
      </c>
      <c r="G90" s="15" t="s">
        <v>18</v>
      </c>
      <c r="H90" s="15" t="s">
        <v>19</v>
      </c>
      <c r="I90" s="15" t="s">
        <v>20</v>
      </c>
      <c r="J90" s="15" t="s">
        <v>124</v>
      </c>
      <c r="K90" s="15" t="s">
        <v>55</v>
      </c>
      <c r="L90" s="15" t="s">
        <v>56</v>
      </c>
      <c r="M90" s="17">
        <v>404</v>
      </c>
      <c r="N90" s="17">
        <v>26</v>
      </c>
      <c r="O90" s="15" t="s">
        <v>315</v>
      </c>
      <c r="P90" s="15" t="str">
        <f t="shared" si="14"/>
        <v>Student Experience &amp; Campus</v>
      </c>
      <c r="Q90" s="15" t="str">
        <f t="shared" si="15"/>
        <v>Student Experience &amp; Campus</v>
      </c>
      <c r="R90" s="15" t="str">
        <f t="shared" si="16"/>
        <v>Engagement/Relationship</v>
      </c>
      <c r="S90" s="15" t="str">
        <f t="shared" si="17"/>
        <v>OK</v>
      </c>
      <c r="T90" s="15" t="str">
        <f t="shared" si="18"/>
        <v>OK</v>
      </c>
      <c r="U90" s="15" t="str">
        <f t="shared" si="19"/>
        <v>OK</v>
      </c>
      <c r="V90" s="15" t="str">
        <f t="shared" si="20"/>
        <v>OK</v>
      </c>
    </row>
    <row r="91" spans="1:22" ht="72" x14ac:dyDescent="0.3">
      <c r="A91" s="15" t="s">
        <v>316</v>
      </c>
      <c r="B91" s="15" t="s">
        <v>264</v>
      </c>
      <c r="C91" s="16">
        <v>45833</v>
      </c>
      <c r="D91" s="15" t="s">
        <v>88</v>
      </c>
      <c r="E91" s="15">
        <v>2025</v>
      </c>
      <c r="F91" s="15" t="s">
        <v>317</v>
      </c>
      <c r="G91" s="15" t="s">
        <v>18</v>
      </c>
      <c r="H91" s="15" t="s">
        <v>19</v>
      </c>
      <c r="I91" s="15" t="s">
        <v>20</v>
      </c>
      <c r="J91" s="15" t="s">
        <v>27</v>
      </c>
      <c r="K91" s="15" t="s">
        <v>22</v>
      </c>
      <c r="L91" s="15" t="s">
        <v>56</v>
      </c>
      <c r="M91" s="17">
        <v>1150</v>
      </c>
      <c r="N91" s="17">
        <v>13</v>
      </c>
      <c r="O91" s="15" t="s">
        <v>318</v>
      </c>
      <c r="P91" s="15" t="str">
        <f t="shared" si="14"/>
        <v>Student Experience &amp; Campus</v>
      </c>
      <c r="Q91" s="15" t="str">
        <f t="shared" si="15"/>
        <v>Institutional Reputation</v>
      </c>
      <c r="R91" s="15" t="str">
        <f t="shared" si="16"/>
        <v>Engagement/Relationship</v>
      </c>
      <c r="S91" s="15" t="str">
        <f t="shared" si="17"/>
        <v>OK</v>
      </c>
      <c r="T91" s="15" t="str">
        <f t="shared" si="18"/>
        <v>OK</v>
      </c>
      <c r="U91" s="15" t="str">
        <f t="shared" si="19"/>
        <v>OK</v>
      </c>
      <c r="V91" s="15" t="str">
        <f t="shared" si="20"/>
        <v>OK</v>
      </c>
    </row>
    <row r="92" spans="1:22" ht="100.8" x14ac:dyDescent="0.3">
      <c r="A92" s="15" t="s">
        <v>319</v>
      </c>
      <c r="B92" s="15" t="s">
        <v>264</v>
      </c>
      <c r="C92" s="16">
        <v>45862</v>
      </c>
      <c r="D92" s="15" t="s">
        <v>604</v>
      </c>
      <c r="E92" s="15">
        <v>2025</v>
      </c>
      <c r="F92" s="15" t="s">
        <v>320</v>
      </c>
      <c r="G92" s="15" t="s">
        <v>47</v>
      </c>
      <c r="H92" s="15" t="s">
        <v>19</v>
      </c>
      <c r="I92" s="15" t="s">
        <v>70</v>
      </c>
      <c r="J92" s="15" t="s">
        <v>21</v>
      </c>
      <c r="K92" s="15" t="s">
        <v>22</v>
      </c>
      <c r="L92" s="15" t="s">
        <v>56</v>
      </c>
      <c r="M92" s="17">
        <v>1110</v>
      </c>
      <c r="N92" s="17">
        <v>5</v>
      </c>
      <c r="O92" s="15" t="s">
        <v>321</v>
      </c>
      <c r="P92" s="15" t="str">
        <f t="shared" si="14"/>
        <v>Student Experience &amp; Campus</v>
      </c>
      <c r="Q92" s="15" t="str">
        <f t="shared" si="15"/>
        <v>Student Experience &amp; Campus</v>
      </c>
      <c r="R92" s="15" t="str">
        <f t="shared" si="16"/>
        <v>Engagement/Relationship</v>
      </c>
      <c r="S92" s="15" t="str">
        <f t="shared" si="17"/>
        <v>OK</v>
      </c>
      <c r="T92" s="15" t="str">
        <f t="shared" si="18"/>
        <v>OK</v>
      </c>
      <c r="U92" s="15" t="str">
        <f t="shared" si="19"/>
        <v>OK</v>
      </c>
      <c r="V92" s="15" t="str">
        <f t="shared" si="20"/>
        <v>OK</v>
      </c>
    </row>
    <row r="93" spans="1:22" ht="86.4" x14ac:dyDescent="0.3">
      <c r="A93" s="15" t="s">
        <v>322</v>
      </c>
      <c r="B93" s="15" t="s">
        <v>264</v>
      </c>
      <c r="C93" s="16">
        <v>45867</v>
      </c>
      <c r="D93" s="15" t="s">
        <v>604</v>
      </c>
      <c r="E93" s="15">
        <v>2025</v>
      </c>
      <c r="F93" s="15" t="s">
        <v>323</v>
      </c>
      <c r="G93" s="15" t="s">
        <v>18</v>
      </c>
      <c r="H93" s="15" t="s">
        <v>19</v>
      </c>
      <c r="I93" s="15" t="s">
        <v>70</v>
      </c>
      <c r="J93" s="15" t="s">
        <v>28</v>
      </c>
      <c r="K93" s="15" t="s">
        <v>66</v>
      </c>
      <c r="L93" s="15" t="s">
        <v>56</v>
      </c>
      <c r="M93" s="17">
        <v>1370</v>
      </c>
      <c r="N93" s="17">
        <v>34</v>
      </c>
      <c r="O93" s="15" t="s">
        <v>324</v>
      </c>
      <c r="P93" s="15" t="str">
        <f t="shared" si="14"/>
        <v>Student Experience &amp; Campus</v>
      </c>
      <c r="Q93" s="15" t="str">
        <f t="shared" si="15"/>
        <v>Academic &amp; Admissions</v>
      </c>
      <c r="R93" s="15" t="str">
        <f t="shared" si="16"/>
        <v>Promotional/Conversion</v>
      </c>
      <c r="S93" s="15" t="str">
        <f t="shared" si="17"/>
        <v>OK</v>
      </c>
      <c r="T93" s="15" t="str">
        <f t="shared" si="18"/>
        <v>OK</v>
      </c>
      <c r="U93" s="15" t="str">
        <f t="shared" si="19"/>
        <v>OK</v>
      </c>
      <c r="V93" s="15" t="str">
        <f t="shared" si="20"/>
        <v>OK</v>
      </c>
    </row>
    <row r="94" spans="1:22" ht="57.6" x14ac:dyDescent="0.3">
      <c r="A94" s="15" t="s">
        <v>325</v>
      </c>
      <c r="B94" s="15" t="s">
        <v>264</v>
      </c>
      <c r="C94" s="16">
        <v>45868</v>
      </c>
      <c r="D94" s="15" t="s">
        <v>604</v>
      </c>
      <c r="E94" s="15">
        <v>2025</v>
      </c>
      <c r="F94" s="15" t="s">
        <v>326</v>
      </c>
      <c r="G94" s="15" t="s">
        <v>26</v>
      </c>
      <c r="H94" s="15" t="s">
        <v>19</v>
      </c>
      <c r="I94" s="15" t="s">
        <v>20</v>
      </c>
      <c r="J94" s="15" t="s">
        <v>21</v>
      </c>
      <c r="K94" s="15" t="s">
        <v>35</v>
      </c>
      <c r="L94" s="15" t="s">
        <v>19</v>
      </c>
      <c r="M94" s="17">
        <v>713</v>
      </c>
      <c r="N94" s="17">
        <v>19</v>
      </c>
      <c r="O94" s="15" t="s">
        <v>327</v>
      </c>
      <c r="P94" s="15" t="str">
        <f t="shared" si="14"/>
        <v>Student Experience &amp; Campus</v>
      </c>
      <c r="Q94" s="15" t="str">
        <f t="shared" si="15"/>
        <v>Student Experience &amp; Campus</v>
      </c>
      <c r="R94" s="15" t="str">
        <f t="shared" si="16"/>
        <v>Engagement/Relationship</v>
      </c>
      <c r="S94" s="15" t="str">
        <f t="shared" si="17"/>
        <v>OK</v>
      </c>
      <c r="T94" s="15" t="str">
        <f t="shared" si="18"/>
        <v>OK</v>
      </c>
      <c r="U94" s="15" t="str">
        <f t="shared" si="19"/>
        <v>OK</v>
      </c>
      <c r="V94" s="15" t="str">
        <f t="shared" si="20"/>
        <v>OK</v>
      </c>
    </row>
    <row r="95" spans="1:22" ht="57.6" x14ac:dyDescent="0.3">
      <c r="A95" s="15" t="s">
        <v>328</v>
      </c>
      <c r="B95" s="15" t="s">
        <v>264</v>
      </c>
      <c r="C95" s="16">
        <v>45895</v>
      </c>
      <c r="D95" s="15" t="s">
        <v>605</v>
      </c>
      <c r="E95" s="15">
        <v>2025</v>
      </c>
      <c r="F95" s="15" t="s">
        <v>329</v>
      </c>
      <c r="G95" s="15" t="s">
        <v>18</v>
      </c>
      <c r="H95" s="15" t="s">
        <v>19</v>
      </c>
      <c r="I95" s="15" t="s">
        <v>21</v>
      </c>
      <c r="J95" s="15" t="s">
        <v>20</v>
      </c>
      <c r="K95" s="15" t="s">
        <v>35</v>
      </c>
      <c r="L95" s="15" t="s">
        <v>19</v>
      </c>
      <c r="M95" s="17">
        <v>342</v>
      </c>
      <c r="N95" s="17">
        <v>7</v>
      </c>
      <c r="O95" s="15" t="s">
        <v>330</v>
      </c>
      <c r="P95" s="15" t="str">
        <f t="shared" si="14"/>
        <v>Student Experience &amp; Campus</v>
      </c>
      <c r="Q95" s="15" t="str">
        <f t="shared" si="15"/>
        <v>Student Experience &amp; Campus</v>
      </c>
      <c r="R95" s="15" t="str">
        <f t="shared" si="16"/>
        <v>Engagement/Relationship</v>
      </c>
      <c r="S95" s="15" t="str">
        <f t="shared" si="17"/>
        <v>OK</v>
      </c>
      <c r="T95" s="15" t="str">
        <f t="shared" si="18"/>
        <v>OK</v>
      </c>
      <c r="U95" s="15" t="str">
        <f t="shared" si="19"/>
        <v>OK</v>
      </c>
      <c r="V95" s="15" t="str">
        <f t="shared" si="20"/>
        <v>OK</v>
      </c>
    </row>
    <row r="96" spans="1:22" ht="72" x14ac:dyDescent="0.3">
      <c r="A96" s="15" t="s">
        <v>331</v>
      </c>
      <c r="B96" s="15" t="s">
        <v>264</v>
      </c>
      <c r="C96" s="16">
        <v>45897</v>
      </c>
      <c r="D96" s="15" t="s">
        <v>605</v>
      </c>
      <c r="E96" s="15">
        <v>2025</v>
      </c>
      <c r="F96" s="15" t="s">
        <v>332</v>
      </c>
      <c r="G96" s="15" t="s">
        <v>18</v>
      </c>
      <c r="H96" s="15" t="s">
        <v>19</v>
      </c>
      <c r="I96" s="15" t="s">
        <v>21</v>
      </c>
      <c r="J96" s="15" t="s">
        <v>70</v>
      </c>
      <c r="K96" s="15" t="s">
        <v>35</v>
      </c>
      <c r="L96" s="15" t="s">
        <v>19</v>
      </c>
      <c r="M96" s="17">
        <v>1550</v>
      </c>
      <c r="N96" s="17">
        <v>14</v>
      </c>
      <c r="O96" s="15" t="s">
        <v>333</v>
      </c>
      <c r="P96" s="15" t="str">
        <f t="shared" si="14"/>
        <v>Student Experience &amp; Campus</v>
      </c>
      <c r="Q96" s="15" t="str">
        <f t="shared" si="15"/>
        <v>Student Experience &amp; Campus</v>
      </c>
      <c r="R96" s="15" t="str">
        <f t="shared" si="16"/>
        <v>Engagement/Relationship</v>
      </c>
      <c r="S96" s="15" t="str">
        <f t="shared" si="17"/>
        <v>OK</v>
      </c>
      <c r="T96" s="15" t="str">
        <f t="shared" si="18"/>
        <v>OK</v>
      </c>
      <c r="U96" s="15" t="str">
        <f t="shared" si="19"/>
        <v>OK</v>
      </c>
      <c r="V96" s="15" t="str">
        <f t="shared" si="20"/>
        <v>OK</v>
      </c>
    </row>
    <row r="97" spans="1:22" ht="57.6" x14ac:dyDescent="0.3">
      <c r="A97" s="15" t="s">
        <v>334</v>
      </c>
      <c r="B97" s="15" t="s">
        <v>264</v>
      </c>
      <c r="C97" s="16">
        <v>45876</v>
      </c>
      <c r="D97" s="15" t="str">
        <f>IF(C97="","",TEXT(C97,"mmmm"))</f>
        <v>August</v>
      </c>
      <c r="E97" s="15">
        <f>IF(C97="","",YEAR(C97))</f>
        <v>2025</v>
      </c>
      <c r="F97" s="15" t="s">
        <v>335</v>
      </c>
      <c r="G97" s="15" t="s">
        <v>18</v>
      </c>
      <c r="H97" s="15" t="s">
        <v>19</v>
      </c>
      <c r="I97" s="15" t="s">
        <v>21</v>
      </c>
      <c r="J97" s="15" t="s">
        <v>20</v>
      </c>
      <c r="K97" s="15" t="s">
        <v>22</v>
      </c>
      <c r="L97" s="15" t="s">
        <v>56</v>
      </c>
      <c r="M97" s="17">
        <v>535</v>
      </c>
      <c r="N97" s="17">
        <v>13</v>
      </c>
      <c r="O97" s="15" t="s">
        <v>336</v>
      </c>
      <c r="P97" s="15" t="str">
        <f t="shared" si="14"/>
        <v>Student Experience &amp; Campus</v>
      </c>
      <c r="Q97" s="15" t="str">
        <f t="shared" si="15"/>
        <v>Student Experience &amp; Campus</v>
      </c>
      <c r="R97" s="15" t="str">
        <f t="shared" si="16"/>
        <v>Engagement/Relationship</v>
      </c>
      <c r="S97" s="15" t="str">
        <f t="shared" si="17"/>
        <v>OK</v>
      </c>
      <c r="T97" s="15" t="str">
        <f t="shared" si="18"/>
        <v>OK</v>
      </c>
      <c r="U97" s="15" t="str">
        <f t="shared" si="19"/>
        <v>OK</v>
      </c>
      <c r="V97" s="15" t="str">
        <f t="shared" si="20"/>
        <v>OK</v>
      </c>
    </row>
    <row r="98" spans="1:22" ht="57.6" x14ac:dyDescent="0.3">
      <c r="A98" s="15" t="s">
        <v>337</v>
      </c>
      <c r="B98" s="15" t="s">
        <v>264</v>
      </c>
      <c r="C98" s="16">
        <v>45541</v>
      </c>
      <c r="D98" s="15" t="str">
        <f>IF(C98="","",TEXT(C98,"mmmm"))</f>
        <v>September</v>
      </c>
      <c r="E98" s="15">
        <f>IF(C98="","",YEAR(C98))</f>
        <v>2024</v>
      </c>
      <c r="F98" s="15" t="s">
        <v>338</v>
      </c>
      <c r="G98" s="15" t="s">
        <v>18</v>
      </c>
      <c r="H98" s="15" t="s">
        <v>19</v>
      </c>
      <c r="I98" s="15" t="s">
        <v>21</v>
      </c>
      <c r="J98" s="15" t="s">
        <v>34</v>
      </c>
      <c r="K98" s="15" t="s">
        <v>35</v>
      </c>
      <c r="L98" s="15" t="s">
        <v>56</v>
      </c>
      <c r="M98" s="17">
        <v>1824</v>
      </c>
      <c r="N98" s="17">
        <v>20</v>
      </c>
      <c r="O98" s="15" t="s">
        <v>339</v>
      </c>
      <c r="P98" s="15" t="str">
        <f t="shared" ref="P98:P129" si="21">IF(OR(I98="Student Experience",I98="Campus Life",I98="Campus Facilities",I98="Student Clubs &amp; Organizations",I98="Events",I98="Student Support Services",I98="Diversity &amp; Inclusion",I98="International Students"),"Student Experience &amp; Campus",IF(OR(I98="Academic Programs",I98="Admissions",I98="Scholarships &amp; Financial Aid"),"Academic &amp; Admissions",IF(OR(I98="Career Opportunities",I98="Alumni Success"),"Career &amp; Alumni",IF(I98="Research &amp; Innovation","Research &amp; Innovation",IF(I98="Rankings &amp; Achievements","Institutional Reputation","Other")))))</f>
        <v>Student Experience &amp; Campus</v>
      </c>
      <c r="Q98" s="15" t="str">
        <f t="shared" ref="Q98:Q129" si="22">IF(OR(J98="Student Experience",J98="Campus Life",J98="Campus Facilities",J98="Student Clubs &amp; Organizations",J98="Events",J98="Student Support Services",J98="Diversity &amp; Inclusion",J98="International Students"),"Student Experience &amp; Campus",IF(OR(J98="Academic Programs",J98="Admissions",J98="Scholarships &amp; Financial Aid"),"Academic &amp; Admissions",IF(OR(J98="Career Opportunities",J98="Alumni Success"),"Career &amp; Alumni",IF(J98="Research &amp; Innovation","Research &amp; Innovation",IF(J98="Rankings &amp; Achievements","Institutional Reputation","Other")))))</f>
        <v>Student Experience &amp; Campus</v>
      </c>
      <c r="R98" s="15" t="str">
        <f t="shared" ref="R98:R129" si="23">IF(K98="Informational","Informational",IF(OR(K98="Promotional",K98="Call-to-Action"),"Promotional/Conversion",IF(K98="Reputation Building","Reputation-focused","Engagement/Relationship")))</f>
        <v>Engagement/Relationship</v>
      </c>
      <c r="S98" s="15" t="str">
        <f t="shared" ref="S98:S129" si="24">IF(COUNTIF($A$2:$A$181,A98)&gt;1,"Duplicate","OK")</f>
        <v>OK</v>
      </c>
      <c r="T98" s="15" t="str">
        <f t="shared" ref="T98:T129" si="25">IF(COUNTIF($F$2:$F$181,F98)&gt;1,"Duplicate","OK")</f>
        <v>OK</v>
      </c>
      <c r="U98" s="15" t="str">
        <f t="shared" ref="U98:U129" si="26">IF(AND(TEXT(C98,"mmmm")=D98,YEAR(C98)=E98),"OK","Mismatch")</f>
        <v>OK</v>
      </c>
      <c r="V98" s="15" t="str">
        <f t="shared" ref="V98:V129" si="27">IF(OR(M98="NA",N98="NA"),"Likes/comments unavailable",IF(I98=J98,"Primary and secondary themes identical","OK"))</f>
        <v>OK</v>
      </c>
    </row>
    <row r="99" spans="1:22" ht="72" x14ac:dyDescent="0.3">
      <c r="A99" s="15" t="s">
        <v>340</v>
      </c>
      <c r="B99" s="15" t="s">
        <v>264</v>
      </c>
      <c r="C99" s="16">
        <v>45548</v>
      </c>
      <c r="D99" s="15" t="s">
        <v>606</v>
      </c>
      <c r="E99" s="15">
        <v>2024</v>
      </c>
      <c r="F99" s="15" t="s">
        <v>341</v>
      </c>
      <c r="G99" s="15" t="s">
        <v>18</v>
      </c>
      <c r="H99" s="15" t="s">
        <v>19</v>
      </c>
      <c r="I99" s="15" t="s">
        <v>20</v>
      </c>
      <c r="J99" s="15" t="s">
        <v>28</v>
      </c>
      <c r="K99" s="15" t="s">
        <v>43</v>
      </c>
      <c r="L99" s="15" t="s">
        <v>19</v>
      </c>
      <c r="M99" s="17">
        <v>1013</v>
      </c>
      <c r="N99" s="17">
        <v>32</v>
      </c>
      <c r="O99" s="15" t="s">
        <v>342</v>
      </c>
      <c r="P99" s="15" t="str">
        <f t="shared" si="21"/>
        <v>Student Experience &amp; Campus</v>
      </c>
      <c r="Q99" s="15" t="str">
        <f t="shared" si="22"/>
        <v>Academic &amp; Admissions</v>
      </c>
      <c r="R99" s="15" t="str">
        <f t="shared" si="23"/>
        <v>Engagement/Relationship</v>
      </c>
      <c r="S99" s="15" t="str">
        <f t="shared" si="24"/>
        <v>OK</v>
      </c>
      <c r="T99" s="15" t="str">
        <f t="shared" si="25"/>
        <v>OK</v>
      </c>
      <c r="U99" s="15" t="str">
        <f t="shared" si="26"/>
        <v>OK</v>
      </c>
      <c r="V99" s="15" t="str">
        <f t="shared" si="27"/>
        <v>OK</v>
      </c>
    </row>
    <row r="100" spans="1:22" ht="86.4" x14ac:dyDescent="0.3">
      <c r="A100" s="15" t="s">
        <v>343</v>
      </c>
      <c r="B100" s="15" t="s">
        <v>264</v>
      </c>
      <c r="C100" s="16">
        <v>45554</v>
      </c>
      <c r="D100" s="15" t="s">
        <v>606</v>
      </c>
      <c r="E100" s="15">
        <v>2024</v>
      </c>
      <c r="F100" s="15" t="s">
        <v>344</v>
      </c>
      <c r="G100" s="15" t="s">
        <v>18</v>
      </c>
      <c r="H100" s="15" t="s">
        <v>19</v>
      </c>
      <c r="I100" s="15" t="s">
        <v>20</v>
      </c>
      <c r="J100" s="15" t="s">
        <v>21</v>
      </c>
      <c r="K100" s="15" t="s">
        <v>43</v>
      </c>
      <c r="L100" s="15" t="s">
        <v>19</v>
      </c>
      <c r="M100" s="17">
        <v>420</v>
      </c>
      <c r="N100" s="17">
        <v>36</v>
      </c>
      <c r="O100" s="15" t="s">
        <v>345</v>
      </c>
      <c r="P100" s="15" t="str">
        <f t="shared" si="21"/>
        <v>Student Experience &amp; Campus</v>
      </c>
      <c r="Q100" s="15" t="str">
        <f t="shared" si="22"/>
        <v>Student Experience &amp; Campus</v>
      </c>
      <c r="R100" s="15" t="str">
        <f t="shared" si="23"/>
        <v>Engagement/Relationship</v>
      </c>
      <c r="S100" s="15" t="str">
        <f t="shared" si="24"/>
        <v>OK</v>
      </c>
      <c r="T100" s="15" t="str">
        <f t="shared" si="25"/>
        <v>OK</v>
      </c>
      <c r="U100" s="15" t="str">
        <f t="shared" si="26"/>
        <v>OK</v>
      </c>
      <c r="V100" s="15" t="str">
        <f t="shared" si="27"/>
        <v>OK</v>
      </c>
    </row>
    <row r="101" spans="1:22" ht="72" x14ac:dyDescent="0.3">
      <c r="A101" s="15" t="s">
        <v>346</v>
      </c>
      <c r="B101" s="15" t="s">
        <v>264</v>
      </c>
      <c r="C101" s="16">
        <v>45568</v>
      </c>
      <c r="D101" s="15" t="s">
        <v>607</v>
      </c>
      <c r="E101" s="15">
        <v>2024</v>
      </c>
      <c r="F101" s="15" t="s">
        <v>347</v>
      </c>
      <c r="G101" s="15" t="s">
        <v>18</v>
      </c>
      <c r="H101" s="15" t="s">
        <v>19</v>
      </c>
      <c r="I101" s="15" t="s">
        <v>60</v>
      </c>
      <c r="J101" s="15" t="s">
        <v>28</v>
      </c>
      <c r="K101" s="15" t="s">
        <v>62</v>
      </c>
      <c r="L101" s="15" t="s">
        <v>19</v>
      </c>
      <c r="M101" s="17">
        <v>458</v>
      </c>
      <c r="N101" s="17">
        <v>10</v>
      </c>
      <c r="O101" s="15" t="s">
        <v>348</v>
      </c>
      <c r="P101" s="15" t="str">
        <f t="shared" si="21"/>
        <v>Academic &amp; Admissions</v>
      </c>
      <c r="Q101" s="15" t="str">
        <f t="shared" si="22"/>
        <v>Academic &amp; Admissions</v>
      </c>
      <c r="R101" s="15" t="str">
        <f t="shared" si="23"/>
        <v>Promotional/Conversion</v>
      </c>
      <c r="S101" s="15" t="str">
        <f t="shared" si="24"/>
        <v>OK</v>
      </c>
      <c r="T101" s="15" t="str">
        <f t="shared" si="25"/>
        <v>OK</v>
      </c>
      <c r="U101" s="15" t="str">
        <f t="shared" si="26"/>
        <v>OK</v>
      </c>
      <c r="V101" s="15" t="str">
        <f t="shared" si="27"/>
        <v>OK</v>
      </c>
    </row>
    <row r="102" spans="1:22" ht="72" x14ac:dyDescent="0.3">
      <c r="A102" s="15" t="s">
        <v>349</v>
      </c>
      <c r="B102" s="15" t="s">
        <v>264</v>
      </c>
      <c r="C102" s="16">
        <v>45583</v>
      </c>
      <c r="D102" s="15" t="s">
        <v>607</v>
      </c>
      <c r="E102" s="15">
        <v>2024</v>
      </c>
      <c r="F102" s="15" t="s">
        <v>350</v>
      </c>
      <c r="G102" s="15" t="s">
        <v>18</v>
      </c>
      <c r="H102" s="15" t="s">
        <v>19</v>
      </c>
      <c r="I102" s="15" t="s">
        <v>20</v>
      </c>
      <c r="J102" s="15" t="s">
        <v>21</v>
      </c>
      <c r="K102" s="15" t="s">
        <v>55</v>
      </c>
      <c r="L102" s="15" t="s">
        <v>56</v>
      </c>
      <c r="M102" s="17">
        <v>280</v>
      </c>
      <c r="N102" s="17">
        <v>0</v>
      </c>
      <c r="O102" s="15" t="s">
        <v>351</v>
      </c>
      <c r="P102" s="15" t="str">
        <f t="shared" si="21"/>
        <v>Student Experience &amp; Campus</v>
      </c>
      <c r="Q102" s="15" t="str">
        <f t="shared" si="22"/>
        <v>Student Experience &amp; Campus</v>
      </c>
      <c r="R102" s="15" t="str">
        <f t="shared" si="23"/>
        <v>Engagement/Relationship</v>
      </c>
      <c r="S102" s="15" t="str">
        <f t="shared" si="24"/>
        <v>OK</v>
      </c>
      <c r="T102" s="15" t="str">
        <f t="shared" si="25"/>
        <v>OK</v>
      </c>
      <c r="U102" s="15" t="str">
        <f t="shared" si="26"/>
        <v>OK</v>
      </c>
      <c r="V102" s="15" t="str">
        <f t="shared" si="27"/>
        <v>OK</v>
      </c>
    </row>
    <row r="103" spans="1:22" ht="72" x14ac:dyDescent="0.3">
      <c r="A103" s="15" t="s">
        <v>352</v>
      </c>
      <c r="B103" s="15" t="s">
        <v>264</v>
      </c>
      <c r="C103" s="16">
        <v>45590</v>
      </c>
      <c r="D103" s="15" t="s">
        <v>607</v>
      </c>
      <c r="E103" s="15">
        <v>2024</v>
      </c>
      <c r="F103" s="15" t="s">
        <v>353</v>
      </c>
      <c r="G103" s="15" t="s">
        <v>18</v>
      </c>
      <c r="H103" s="15" t="s">
        <v>19</v>
      </c>
      <c r="I103" s="15" t="s">
        <v>120</v>
      </c>
      <c r="J103" s="15" t="s">
        <v>20</v>
      </c>
      <c r="K103" s="15" t="s">
        <v>66</v>
      </c>
      <c r="L103" s="15" t="s">
        <v>56</v>
      </c>
      <c r="M103" s="17">
        <v>623</v>
      </c>
      <c r="N103" s="17">
        <v>0</v>
      </c>
      <c r="O103" s="15" t="s">
        <v>354</v>
      </c>
      <c r="P103" s="15" t="str">
        <f t="shared" si="21"/>
        <v>Academic &amp; Admissions</v>
      </c>
      <c r="Q103" s="15" t="str">
        <f t="shared" si="22"/>
        <v>Student Experience &amp; Campus</v>
      </c>
      <c r="R103" s="15" t="str">
        <f t="shared" si="23"/>
        <v>Promotional/Conversion</v>
      </c>
      <c r="S103" s="15" t="str">
        <f t="shared" si="24"/>
        <v>OK</v>
      </c>
      <c r="T103" s="15" t="str">
        <f t="shared" si="25"/>
        <v>OK</v>
      </c>
      <c r="U103" s="15" t="str">
        <f t="shared" si="26"/>
        <v>OK</v>
      </c>
      <c r="V103" s="15" t="str">
        <f t="shared" si="27"/>
        <v>OK</v>
      </c>
    </row>
    <row r="104" spans="1:22" ht="100.8" x14ac:dyDescent="0.3">
      <c r="A104" s="15" t="s">
        <v>355</v>
      </c>
      <c r="B104" s="15" t="s">
        <v>264</v>
      </c>
      <c r="C104" s="16">
        <v>45597</v>
      </c>
      <c r="D104" s="15" t="s">
        <v>608</v>
      </c>
      <c r="E104" s="15">
        <v>2024</v>
      </c>
      <c r="F104" s="15" t="s">
        <v>356</v>
      </c>
      <c r="G104" s="15" t="s">
        <v>18</v>
      </c>
      <c r="H104" s="15" t="s">
        <v>19</v>
      </c>
      <c r="I104" s="15" t="s">
        <v>120</v>
      </c>
      <c r="J104" s="15" t="s">
        <v>20</v>
      </c>
      <c r="K104" s="15" t="s">
        <v>66</v>
      </c>
      <c r="L104" s="15" t="s">
        <v>19</v>
      </c>
      <c r="M104" s="17">
        <v>2628</v>
      </c>
      <c r="N104" s="17">
        <v>0</v>
      </c>
      <c r="O104" s="15" t="s">
        <v>357</v>
      </c>
      <c r="P104" s="15" t="str">
        <f t="shared" si="21"/>
        <v>Academic &amp; Admissions</v>
      </c>
      <c r="Q104" s="15" t="str">
        <f t="shared" si="22"/>
        <v>Student Experience &amp; Campus</v>
      </c>
      <c r="R104" s="15" t="str">
        <f t="shared" si="23"/>
        <v>Promotional/Conversion</v>
      </c>
      <c r="S104" s="15" t="str">
        <f t="shared" si="24"/>
        <v>OK</v>
      </c>
      <c r="T104" s="15" t="str">
        <f t="shared" si="25"/>
        <v>OK</v>
      </c>
      <c r="U104" s="15" t="str">
        <f t="shared" si="26"/>
        <v>OK</v>
      </c>
      <c r="V104" s="15" t="str">
        <f t="shared" si="27"/>
        <v>OK</v>
      </c>
    </row>
    <row r="105" spans="1:22" ht="57.6" x14ac:dyDescent="0.3">
      <c r="A105" s="15" t="s">
        <v>358</v>
      </c>
      <c r="B105" s="15" t="s">
        <v>264</v>
      </c>
      <c r="C105" s="16">
        <v>45600</v>
      </c>
      <c r="D105" s="15" t="s">
        <v>608</v>
      </c>
      <c r="E105" s="15">
        <v>2024</v>
      </c>
      <c r="F105" s="15" t="s">
        <v>359</v>
      </c>
      <c r="G105" s="15" t="s">
        <v>26</v>
      </c>
      <c r="H105" s="15" t="s">
        <v>19</v>
      </c>
      <c r="I105" s="15" t="s">
        <v>70</v>
      </c>
      <c r="J105" s="15" t="s">
        <v>34</v>
      </c>
      <c r="K105" s="15" t="s">
        <v>93</v>
      </c>
      <c r="L105" s="15" t="s">
        <v>56</v>
      </c>
      <c r="M105" s="17">
        <v>977</v>
      </c>
      <c r="N105" s="17">
        <v>0</v>
      </c>
      <c r="O105" s="15" t="s">
        <v>360</v>
      </c>
      <c r="P105" s="15" t="str">
        <f t="shared" si="21"/>
        <v>Student Experience &amp; Campus</v>
      </c>
      <c r="Q105" s="15" t="str">
        <f t="shared" si="22"/>
        <v>Student Experience &amp; Campus</v>
      </c>
      <c r="R105" s="15" t="str">
        <f t="shared" si="23"/>
        <v>Informational</v>
      </c>
      <c r="S105" s="15" t="str">
        <f t="shared" si="24"/>
        <v>OK</v>
      </c>
      <c r="T105" s="15" t="str">
        <f t="shared" si="25"/>
        <v>OK</v>
      </c>
      <c r="U105" s="15" t="str">
        <f t="shared" si="26"/>
        <v>OK</v>
      </c>
      <c r="V105" s="15" t="str">
        <f t="shared" si="27"/>
        <v>OK</v>
      </c>
    </row>
    <row r="106" spans="1:22" ht="86.4" x14ac:dyDescent="0.3">
      <c r="A106" s="15" t="s">
        <v>361</v>
      </c>
      <c r="B106" s="15" t="s">
        <v>264</v>
      </c>
      <c r="C106" s="16">
        <v>45618</v>
      </c>
      <c r="D106" s="15" t="s">
        <v>608</v>
      </c>
      <c r="E106" s="15">
        <v>2024</v>
      </c>
      <c r="F106" s="15" t="s">
        <v>362</v>
      </c>
      <c r="G106" s="15" t="s">
        <v>26</v>
      </c>
      <c r="H106" s="15" t="s">
        <v>19</v>
      </c>
      <c r="I106" s="15" t="s">
        <v>34</v>
      </c>
      <c r="J106" s="15" t="s">
        <v>48</v>
      </c>
      <c r="K106" s="15" t="s">
        <v>93</v>
      </c>
      <c r="L106" s="15" t="s">
        <v>56</v>
      </c>
      <c r="M106" s="17">
        <v>1135</v>
      </c>
      <c r="N106" s="17">
        <v>0</v>
      </c>
      <c r="O106" s="15" t="s">
        <v>363</v>
      </c>
      <c r="P106" s="15" t="str">
        <f t="shared" si="21"/>
        <v>Student Experience &amp; Campus</v>
      </c>
      <c r="Q106" s="15" t="str">
        <f t="shared" si="22"/>
        <v>Student Experience &amp; Campus</v>
      </c>
      <c r="R106" s="15" t="str">
        <f t="shared" si="23"/>
        <v>Informational</v>
      </c>
      <c r="S106" s="15" t="str">
        <f t="shared" si="24"/>
        <v>OK</v>
      </c>
      <c r="T106" s="15" t="str">
        <f t="shared" si="25"/>
        <v>OK</v>
      </c>
      <c r="U106" s="15" t="str">
        <f t="shared" si="26"/>
        <v>OK</v>
      </c>
      <c r="V106" s="15" t="str">
        <f t="shared" si="27"/>
        <v>OK</v>
      </c>
    </row>
    <row r="107" spans="1:22" ht="115.2" x14ac:dyDescent="0.3">
      <c r="A107" s="15" t="s">
        <v>364</v>
      </c>
      <c r="B107" s="15" t="s">
        <v>264</v>
      </c>
      <c r="C107" s="16">
        <v>45628</v>
      </c>
      <c r="D107" s="15" t="s">
        <v>609</v>
      </c>
      <c r="E107" s="15">
        <v>2024</v>
      </c>
      <c r="F107" s="15" t="s">
        <v>365</v>
      </c>
      <c r="G107" s="15" t="s">
        <v>18</v>
      </c>
      <c r="H107" s="15" t="s">
        <v>19</v>
      </c>
      <c r="I107" s="15" t="s">
        <v>20</v>
      </c>
      <c r="J107" s="15" t="s">
        <v>21</v>
      </c>
      <c r="K107" s="15" t="s">
        <v>66</v>
      </c>
      <c r="L107" s="15" t="s">
        <v>19</v>
      </c>
      <c r="M107" s="17">
        <v>325</v>
      </c>
      <c r="N107" s="17">
        <v>0</v>
      </c>
      <c r="O107" s="15" t="s">
        <v>366</v>
      </c>
      <c r="P107" s="15" t="str">
        <f t="shared" si="21"/>
        <v>Student Experience &amp; Campus</v>
      </c>
      <c r="Q107" s="15" t="str">
        <f t="shared" si="22"/>
        <v>Student Experience &amp; Campus</v>
      </c>
      <c r="R107" s="15" t="str">
        <f t="shared" si="23"/>
        <v>Promotional/Conversion</v>
      </c>
      <c r="S107" s="15" t="str">
        <f t="shared" si="24"/>
        <v>OK</v>
      </c>
      <c r="T107" s="15" t="str">
        <f t="shared" si="25"/>
        <v>OK</v>
      </c>
      <c r="U107" s="15" t="str">
        <f t="shared" si="26"/>
        <v>OK</v>
      </c>
      <c r="V107" s="15" t="str">
        <f t="shared" si="27"/>
        <v>OK</v>
      </c>
    </row>
    <row r="108" spans="1:22" ht="100.8" x14ac:dyDescent="0.3">
      <c r="A108" s="15" t="s">
        <v>367</v>
      </c>
      <c r="B108" s="15" t="s">
        <v>264</v>
      </c>
      <c r="C108" s="16">
        <v>45639</v>
      </c>
      <c r="D108" s="15" t="s">
        <v>609</v>
      </c>
      <c r="E108" s="15">
        <v>2024</v>
      </c>
      <c r="F108" s="15" t="s">
        <v>368</v>
      </c>
      <c r="G108" s="15" t="s">
        <v>18</v>
      </c>
      <c r="H108" s="15" t="s">
        <v>19</v>
      </c>
      <c r="I108" s="15" t="s">
        <v>28</v>
      </c>
      <c r="J108" s="15" t="s">
        <v>20</v>
      </c>
      <c r="K108" s="15" t="s">
        <v>66</v>
      </c>
      <c r="L108" s="15" t="s">
        <v>56</v>
      </c>
      <c r="M108" s="17">
        <v>487</v>
      </c>
      <c r="N108" s="17">
        <v>0</v>
      </c>
      <c r="O108" s="15" t="s">
        <v>369</v>
      </c>
      <c r="P108" s="15" t="str">
        <f t="shared" si="21"/>
        <v>Academic &amp; Admissions</v>
      </c>
      <c r="Q108" s="15" t="str">
        <f t="shared" si="22"/>
        <v>Student Experience &amp; Campus</v>
      </c>
      <c r="R108" s="15" t="str">
        <f t="shared" si="23"/>
        <v>Promotional/Conversion</v>
      </c>
      <c r="S108" s="15" t="str">
        <f t="shared" si="24"/>
        <v>OK</v>
      </c>
      <c r="T108" s="15" t="str">
        <f t="shared" si="25"/>
        <v>OK</v>
      </c>
      <c r="U108" s="15" t="str">
        <f t="shared" si="26"/>
        <v>OK</v>
      </c>
      <c r="V108" s="15" t="str">
        <f t="shared" si="27"/>
        <v>OK</v>
      </c>
    </row>
    <row r="109" spans="1:22" ht="72" x14ac:dyDescent="0.3">
      <c r="A109" s="15" t="s">
        <v>370</v>
      </c>
      <c r="B109" s="15" t="s">
        <v>264</v>
      </c>
      <c r="C109" s="16">
        <v>45650</v>
      </c>
      <c r="D109" s="15" t="s">
        <v>609</v>
      </c>
      <c r="E109" s="15">
        <v>2024</v>
      </c>
      <c r="F109" s="15" t="s">
        <v>371</v>
      </c>
      <c r="G109" s="15" t="s">
        <v>18</v>
      </c>
      <c r="H109" s="15" t="s">
        <v>19</v>
      </c>
      <c r="I109" s="15" t="s">
        <v>101</v>
      </c>
      <c r="J109" s="15" t="s">
        <v>20</v>
      </c>
      <c r="K109" s="15" t="s">
        <v>66</v>
      </c>
      <c r="L109" s="15" t="s">
        <v>56</v>
      </c>
      <c r="M109" s="17">
        <v>944</v>
      </c>
      <c r="N109" s="17">
        <v>0</v>
      </c>
      <c r="O109" s="15" t="s">
        <v>372</v>
      </c>
      <c r="P109" s="15" t="str">
        <f t="shared" si="21"/>
        <v>Career &amp; Alumni</v>
      </c>
      <c r="Q109" s="15" t="str">
        <f t="shared" si="22"/>
        <v>Student Experience &amp; Campus</v>
      </c>
      <c r="R109" s="15" t="str">
        <f t="shared" si="23"/>
        <v>Promotional/Conversion</v>
      </c>
      <c r="S109" s="15" t="str">
        <f t="shared" si="24"/>
        <v>OK</v>
      </c>
      <c r="T109" s="15" t="str">
        <f t="shared" si="25"/>
        <v>OK</v>
      </c>
      <c r="U109" s="15" t="str">
        <f t="shared" si="26"/>
        <v>OK</v>
      </c>
      <c r="V109" s="15" t="str">
        <f t="shared" si="27"/>
        <v>OK</v>
      </c>
    </row>
    <row r="110" spans="1:22" ht="57.6" x14ac:dyDescent="0.3">
      <c r="A110" s="15" t="s">
        <v>373</v>
      </c>
      <c r="B110" s="15" t="s">
        <v>374</v>
      </c>
      <c r="C110" s="16">
        <v>45667</v>
      </c>
      <c r="D110" s="15" t="str">
        <f>IF(C110="","",TEXT(C110,"mmmm"))</f>
        <v>January</v>
      </c>
      <c r="E110" s="15">
        <f>IF(C110="","",YEAR(C110))</f>
        <v>2025</v>
      </c>
      <c r="F110" s="15" t="s">
        <v>375</v>
      </c>
      <c r="G110" s="15" t="s">
        <v>47</v>
      </c>
      <c r="H110" s="15" t="s">
        <v>19</v>
      </c>
      <c r="I110" s="15" t="s">
        <v>120</v>
      </c>
      <c r="J110" s="15" t="s">
        <v>61</v>
      </c>
      <c r="K110" s="15" t="s">
        <v>29</v>
      </c>
      <c r="L110" s="15" t="s">
        <v>56</v>
      </c>
      <c r="M110" s="17">
        <v>397</v>
      </c>
      <c r="N110" s="17">
        <v>3</v>
      </c>
      <c r="O110" s="15" t="s">
        <v>376</v>
      </c>
      <c r="P110" s="15" t="str">
        <f t="shared" si="21"/>
        <v>Academic &amp; Admissions</v>
      </c>
      <c r="Q110" s="15" t="str">
        <f t="shared" si="22"/>
        <v>Student Experience &amp; Campus</v>
      </c>
      <c r="R110" s="15" t="str">
        <f t="shared" si="23"/>
        <v>Reputation-focused</v>
      </c>
      <c r="S110" s="15" t="str">
        <f t="shared" si="24"/>
        <v>OK</v>
      </c>
      <c r="T110" s="15" t="str">
        <f t="shared" si="25"/>
        <v>OK</v>
      </c>
      <c r="U110" s="15" t="str">
        <f t="shared" si="26"/>
        <v>OK</v>
      </c>
      <c r="V110" s="15" t="str">
        <f t="shared" si="27"/>
        <v>OK</v>
      </c>
    </row>
    <row r="111" spans="1:22" ht="72" x14ac:dyDescent="0.3">
      <c r="A111" s="15" t="s">
        <v>377</v>
      </c>
      <c r="B111" s="15" t="s">
        <v>374</v>
      </c>
      <c r="C111" s="16">
        <v>45669</v>
      </c>
      <c r="D111" s="15" t="s">
        <v>599</v>
      </c>
      <c r="E111" s="15">
        <v>2025</v>
      </c>
      <c r="F111" s="15" t="s">
        <v>378</v>
      </c>
      <c r="G111" s="15" t="s">
        <v>47</v>
      </c>
      <c r="H111" s="15" t="s">
        <v>19</v>
      </c>
      <c r="I111" s="15" t="s">
        <v>20</v>
      </c>
      <c r="J111" s="15" t="s">
        <v>120</v>
      </c>
      <c r="K111" s="15" t="s">
        <v>29</v>
      </c>
      <c r="L111" s="15" t="s">
        <v>56</v>
      </c>
      <c r="M111" s="17">
        <v>2153</v>
      </c>
      <c r="N111" s="17">
        <v>10</v>
      </c>
      <c r="O111" s="15" t="s">
        <v>379</v>
      </c>
      <c r="P111" s="15" t="str">
        <f t="shared" si="21"/>
        <v>Student Experience &amp; Campus</v>
      </c>
      <c r="Q111" s="15" t="str">
        <f t="shared" si="22"/>
        <v>Academic &amp; Admissions</v>
      </c>
      <c r="R111" s="15" t="str">
        <f t="shared" si="23"/>
        <v>Reputation-focused</v>
      </c>
      <c r="S111" s="15" t="str">
        <f t="shared" si="24"/>
        <v>OK</v>
      </c>
      <c r="T111" s="15" t="str">
        <f t="shared" si="25"/>
        <v>OK</v>
      </c>
      <c r="U111" s="15" t="str">
        <f t="shared" si="26"/>
        <v>OK</v>
      </c>
      <c r="V111" s="15" t="str">
        <f t="shared" si="27"/>
        <v>OK</v>
      </c>
    </row>
    <row r="112" spans="1:22" ht="57.6" x14ac:dyDescent="0.3">
      <c r="A112" s="15" t="s">
        <v>380</v>
      </c>
      <c r="B112" s="15" t="s">
        <v>374</v>
      </c>
      <c r="C112" s="16">
        <v>45680</v>
      </c>
      <c r="D112" s="15" t="s">
        <v>599</v>
      </c>
      <c r="E112" s="15">
        <v>2025</v>
      </c>
      <c r="F112" s="15" t="s">
        <v>381</v>
      </c>
      <c r="G112" s="15" t="s">
        <v>18</v>
      </c>
      <c r="H112" s="15" t="s">
        <v>19</v>
      </c>
      <c r="I112" s="15" t="s">
        <v>21</v>
      </c>
      <c r="J112" s="15" t="s">
        <v>70</v>
      </c>
      <c r="K112" s="15" t="s">
        <v>35</v>
      </c>
      <c r="L112" s="15" t="s">
        <v>19</v>
      </c>
      <c r="M112" s="17">
        <v>955</v>
      </c>
      <c r="N112" s="17">
        <v>3</v>
      </c>
      <c r="O112" s="15" t="s">
        <v>382</v>
      </c>
      <c r="P112" s="15" t="str">
        <f t="shared" si="21"/>
        <v>Student Experience &amp; Campus</v>
      </c>
      <c r="Q112" s="15" t="str">
        <f t="shared" si="22"/>
        <v>Student Experience &amp; Campus</v>
      </c>
      <c r="R112" s="15" t="str">
        <f t="shared" si="23"/>
        <v>Engagement/Relationship</v>
      </c>
      <c r="S112" s="15" t="str">
        <f t="shared" si="24"/>
        <v>OK</v>
      </c>
      <c r="T112" s="15" t="str">
        <f t="shared" si="25"/>
        <v>OK</v>
      </c>
      <c r="U112" s="15" t="str">
        <f t="shared" si="26"/>
        <v>OK</v>
      </c>
      <c r="V112" s="15" t="str">
        <f t="shared" si="27"/>
        <v>OK</v>
      </c>
    </row>
    <row r="113" spans="1:22" ht="115.2" x14ac:dyDescent="0.3">
      <c r="A113" s="15" t="s">
        <v>383</v>
      </c>
      <c r="B113" s="15" t="s">
        <v>374</v>
      </c>
      <c r="C113" s="16">
        <v>45698</v>
      </c>
      <c r="D113" s="15" t="s">
        <v>600</v>
      </c>
      <c r="E113" s="15">
        <v>2025</v>
      </c>
      <c r="F113" s="15" t="s">
        <v>384</v>
      </c>
      <c r="G113" s="15" t="s">
        <v>26</v>
      </c>
      <c r="H113" s="15" t="s">
        <v>19</v>
      </c>
      <c r="I113" s="15" t="s">
        <v>39</v>
      </c>
      <c r="J113" s="15" t="s">
        <v>21</v>
      </c>
      <c r="K113" s="15" t="s">
        <v>93</v>
      </c>
      <c r="L113" s="15" t="s">
        <v>19</v>
      </c>
      <c r="M113" s="17">
        <v>171</v>
      </c>
      <c r="N113" s="17">
        <v>2</v>
      </c>
      <c r="O113" s="15" t="s">
        <v>385</v>
      </c>
      <c r="P113" s="15" t="str">
        <f t="shared" si="21"/>
        <v>Research &amp; Innovation</v>
      </c>
      <c r="Q113" s="15" t="str">
        <f t="shared" si="22"/>
        <v>Student Experience &amp; Campus</v>
      </c>
      <c r="R113" s="15" t="str">
        <f t="shared" si="23"/>
        <v>Informational</v>
      </c>
      <c r="S113" s="15" t="str">
        <f t="shared" si="24"/>
        <v>OK</v>
      </c>
      <c r="T113" s="15" t="str">
        <f t="shared" si="25"/>
        <v>OK</v>
      </c>
      <c r="U113" s="15" t="str">
        <f t="shared" si="26"/>
        <v>OK</v>
      </c>
      <c r="V113" s="15" t="str">
        <f t="shared" si="27"/>
        <v>OK</v>
      </c>
    </row>
    <row r="114" spans="1:22" ht="72" x14ac:dyDescent="0.3">
      <c r="A114" s="15" t="s">
        <v>386</v>
      </c>
      <c r="B114" s="15" t="s">
        <v>374</v>
      </c>
      <c r="C114" s="16">
        <v>45701</v>
      </c>
      <c r="D114" s="15" t="s">
        <v>600</v>
      </c>
      <c r="E114" s="15">
        <v>2025</v>
      </c>
      <c r="F114" s="15" t="s">
        <v>387</v>
      </c>
      <c r="G114" s="15" t="s">
        <v>26</v>
      </c>
      <c r="H114" s="15" t="s">
        <v>19</v>
      </c>
      <c r="I114" s="15" t="s">
        <v>60</v>
      </c>
      <c r="J114" s="15" t="s">
        <v>34</v>
      </c>
      <c r="K114" s="15" t="s">
        <v>66</v>
      </c>
      <c r="L114" s="15" t="s">
        <v>19</v>
      </c>
      <c r="M114" s="17">
        <v>172</v>
      </c>
      <c r="N114" s="17">
        <v>2</v>
      </c>
      <c r="O114" s="15" t="s">
        <v>388</v>
      </c>
      <c r="P114" s="15" t="str">
        <f t="shared" si="21"/>
        <v>Academic &amp; Admissions</v>
      </c>
      <c r="Q114" s="15" t="str">
        <f t="shared" si="22"/>
        <v>Student Experience &amp; Campus</v>
      </c>
      <c r="R114" s="15" t="str">
        <f t="shared" si="23"/>
        <v>Promotional/Conversion</v>
      </c>
      <c r="S114" s="15" t="str">
        <f t="shared" si="24"/>
        <v>OK</v>
      </c>
      <c r="T114" s="15" t="str">
        <f t="shared" si="25"/>
        <v>OK</v>
      </c>
      <c r="U114" s="15" t="str">
        <f t="shared" si="26"/>
        <v>OK</v>
      </c>
      <c r="V114" s="15" t="str">
        <f t="shared" si="27"/>
        <v>OK</v>
      </c>
    </row>
    <row r="115" spans="1:22" ht="57.6" x14ac:dyDescent="0.3">
      <c r="A115" s="15" t="s">
        <v>389</v>
      </c>
      <c r="B115" s="15" t="s">
        <v>374</v>
      </c>
      <c r="C115" s="16">
        <v>45712</v>
      </c>
      <c r="D115" s="15" t="s">
        <v>600</v>
      </c>
      <c r="E115" s="15">
        <v>2025</v>
      </c>
      <c r="F115" s="15" t="s">
        <v>390</v>
      </c>
      <c r="G115" s="15" t="s">
        <v>18</v>
      </c>
      <c r="H115" s="15" t="s">
        <v>19</v>
      </c>
      <c r="I115" s="15" t="s">
        <v>20</v>
      </c>
      <c r="J115" s="15" t="s">
        <v>28</v>
      </c>
      <c r="K115" s="15" t="s">
        <v>66</v>
      </c>
      <c r="L115" s="15" t="s">
        <v>19</v>
      </c>
      <c r="M115" s="17">
        <v>732</v>
      </c>
      <c r="N115" s="17">
        <v>8</v>
      </c>
      <c r="O115" s="15" t="s">
        <v>391</v>
      </c>
      <c r="P115" s="15" t="str">
        <f t="shared" si="21"/>
        <v>Student Experience &amp; Campus</v>
      </c>
      <c r="Q115" s="15" t="str">
        <f t="shared" si="22"/>
        <v>Academic &amp; Admissions</v>
      </c>
      <c r="R115" s="15" t="str">
        <f t="shared" si="23"/>
        <v>Promotional/Conversion</v>
      </c>
      <c r="S115" s="15" t="str">
        <f t="shared" si="24"/>
        <v>OK</v>
      </c>
      <c r="T115" s="15" t="str">
        <f t="shared" si="25"/>
        <v>OK</v>
      </c>
      <c r="U115" s="15" t="str">
        <f t="shared" si="26"/>
        <v>OK</v>
      </c>
      <c r="V115" s="15" t="str">
        <f t="shared" si="27"/>
        <v>OK</v>
      </c>
    </row>
    <row r="116" spans="1:22" ht="57.6" x14ac:dyDescent="0.3">
      <c r="A116" s="15" t="s">
        <v>392</v>
      </c>
      <c r="B116" s="15" t="s">
        <v>374</v>
      </c>
      <c r="C116" s="16">
        <v>45719</v>
      </c>
      <c r="D116" s="15" t="s">
        <v>601</v>
      </c>
      <c r="E116" s="15">
        <v>2025</v>
      </c>
      <c r="F116" s="15" t="s">
        <v>393</v>
      </c>
      <c r="G116" s="15" t="s">
        <v>18</v>
      </c>
      <c r="H116" s="15" t="s">
        <v>19</v>
      </c>
      <c r="I116" s="15" t="s">
        <v>20</v>
      </c>
      <c r="J116" s="15" t="s">
        <v>124</v>
      </c>
      <c r="K116" s="15" t="s">
        <v>66</v>
      </c>
      <c r="L116" s="15" t="s">
        <v>19</v>
      </c>
      <c r="M116" s="17">
        <v>970</v>
      </c>
      <c r="N116" s="17">
        <v>11</v>
      </c>
      <c r="O116" s="15" t="s">
        <v>394</v>
      </c>
      <c r="P116" s="15" t="str">
        <f t="shared" si="21"/>
        <v>Student Experience &amp; Campus</v>
      </c>
      <c r="Q116" s="15" t="str">
        <f t="shared" si="22"/>
        <v>Student Experience &amp; Campus</v>
      </c>
      <c r="R116" s="15" t="str">
        <f t="shared" si="23"/>
        <v>Promotional/Conversion</v>
      </c>
      <c r="S116" s="15" t="str">
        <f t="shared" si="24"/>
        <v>OK</v>
      </c>
      <c r="T116" s="15" t="str">
        <f t="shared" si="25"/>
        <v>OK</v>
      </c>
      <c r="U116" s="15" t="str">
        <f t="shared" si="26"/>
        <v>OK</v>
      </c>
      <c r="V116" s="15" t="str">
        <f t="shared" si="27"/>
        <v>OK</v>
      </c>
    </row>
    <row r="117" spans="1:22" ht="57.6" x14ac:dyDescent="0.3">
      <c r="A117" s="15" t="s">
        <v>395</v>
      </c>
      <c r="B117" s="15" t="s">
        <v>374</v>
      </c>
      <c r="C117" s="16">
        <v>45741</v>
      </c>
      <c r="D117" s="15" t="s">
        <v>601</v>
      </c>
      <c r="E117" s="15">
        <v>2025</v>
      </c>
      <c r="F117" s="15" t="s">
        <v>396</v>
      </c>
      <c r="G117" s="15" t="s">
        <v>18</v>
      </c>
      <c r="H117" s="15" t="s">
        <v>19</v>
      </c>
      <c r="I117" s="15" t="s">
        <v>60</v>
      </c>
      <c r="J117" s="15" t="s">
        <v>20</v>
      </c>
      <c r="K117" s="15" t="s">
        <v>66</v>
      </c>
      <c r="L117" s="15" t="s">
        <v>19</v>
      </c>
      <c r="M117" s="17">
        <v>142</v>
      </c>
      <c r="N117" s="17">
        <v>1</v>
      </c>
      <c r="O117" s="15" t="s">
        <v>397</v>
      </c>
      <c r="P117" s="15" t="str">
        <f t="shared" si="21"/>
        <v>Academic &amp; Admissions</v>
      </c>
      <c r="Q117" s="15" t="str">
        <f t="shared" si="22"/>
        <v>Student Experience &amp; Campus</v>
      </c>
      <c r="R117" s="15" t="str">
        <f t="shared" si="23"/>
        <v>Promotional/Conversion</v>
      </c>
      <c r="S117" s="15" t="str">
        <f t="shared" si="24"/>
        <v>OK</v>
      </c>
      <c r="T117" s="15" t="str">
        <f t="shared" si="25"/>
        <v>OK</v>
      </c>
      <c r="U117" s="15" t="str">
        <f t="shared" si="26"/>
        <v>OK</v>
      </c>
      <c r="V117" s="15" t="str">
        <f t="shared" si="27"/>
        <v>OK</v>
      </c>
    </row>
    <row r="118" spans="1:22" ht="57.6" x14ac:dyDescent="0.3">
      <c r="A118" s="15" t="s">
        <v>398</v>
      </c>
      <c r="B118" s="15" t="s">
        <v>374</v>
      </c>
      <c r="C118" s="16">
        <v>45744</v>
      </c>
      <c r="D118" s="15" t="s">
        <v>601</v>
      </c>
      <c r="E118" s="15">
        <v>2025</v>
      </c>
      <c r="F118" s="15" t="s">
        <v>399</v>
      </c>
      <c r="G118" s="15" t="s">
        <v>18</v>
      </c>
      <c r="H118" s="15" t="s">
        <v>19</v>
      </c>
      <c r="I118" s="15" t="s">
        <v>70</v>
      </c>
      <c r="J118" s="15" t="s">
        <v>60</v>
      </c>
      <c r="K118" s="15" t="s">
        <v>66</v>
      </c>
      <c r="L118" s="15" t="s">
        <v>19</v>
      </c>
      <c r="M118" s="17">
        <v>269</v>
      </c>
      <c r="N118" s="17">
        <v>4</v>
      </c>
      <c r="O118" s="15" t="s">
        <v>400</v>
      </c>
      <c r="P118" s="15" t="str">
        <f t="shared" si="21"/>
        <v>Student Experience &amp; Campus</v>
      </c>
      <c r="Q118" s="15" t="str">
        <f t="shared" si="22"/>
        <v>Academic &amp; Admissions</v>
      </c>
      <c r="R118" s="15" t="str">
        <f t="shared" si="23"/>
        <v>Promotional/Conversion</v>
      </c>
      <c r="S118" s="15" t="str">
        <f t="shared" si="24"/>
        <v>OK</v>
      </c>
      <c r="T118" s="15" t="str">
        <f t="shared" si="25"/>
        <v>OK</v>
      </c>
      <c r="U118" s="15" t="str">
        <f t="shared" si="26"/>
        <v>OK</v>
      </c>
      <c r="V118" s="15" t="str">
        <f t="shared" si="27"/>
        <v>OK</v>
      </c>
    </row>
    <row r="119" spans="1:22" ht="57.6" x14ac:dyDescent="0.3">
      <c r="A119" s="15" t="s">
        <v>401</v>
      </c>
      <c r="B119" s="15" t="s">
        <v>374</v>
      </c>
      <c r="C119" s="16">
        <v>45754</v>
      </c>
      <c r="D119" s="15" t="s">
        <v>602</v>
      </c>
      <c r="E119" s="15">
        <v>2025</v>
      </c>
      <c r="F119" s="15" t="s">
        <v>402</v>
      </c>
      <c r="G119" s="15" t="s">
        <v>18</v>
      </c>
      <c r="H119" s="15" t="s">
        <v>19</v>
      </c>
      <c r="I119" s="15" t="s">
        <v>20</v>
      </c>
      <c r="J119" s="15" t="s">
        <v>28</v>
      </c>
      <c r="K119" s="15" t="s">
        <v>43</v>
      </c>
      <c r="L119" s="15" t="s">
        <v>19</v>
      </c>
      <c r="M119" s="17">
        <v>1351</v>
      </c>
      <c r="N119" s="17">
        <v>31</v>
      </c>
      <c r="O119" s="15" t="s">
        <v>403</v>
      </c>
      <c r="P119" s="15" t="str">
        <f t="shared" si="21"/>
        <v>Student Experience &amp; Campus</v>
      </c>
      <c r="Q119" s="15" t="str">
        <f t="shared" si="22"/>
        <v>Academic &amp; Admissions</v>
      </c>
      <c r="R119" s="15" t="str">
        <f t="shared" si="23"/>
        <v>Engagement/Relationship</v>
      </c>
      <c r="S119" s="15" t="str">
        <f t="shared" si="24"/>
        <v>OK</v>
      </c>
      <c r="T119" s="15" t="str">
        <f t="shared" si="25"/>
        <v>OK</v>
      </c>
      <c r="U119" s="15" t="str">
        <f t="shared" si="26"/>
        <v>OK</v>
      </c>
      <c r="V119" s="15" t="str">
        <f t="shared" si="27"/>
        <v>OK</v>
      </c>
    </row>
    <row r="120" spans="1:22" ht="57.6" x14ac:dyDescent="0.3">
      <c r="A120" s="15" t="s">
        <v>404</v>
      </c>
      <c r="B120" s="15" t="s">
        <v>374</v>
      </c>
      <c r="C120" s="16">
        <v>45769</v>
      </c>
      <c r="D120" s="15" t="s">
        <v>602</v>
      </c>
      <c r="E120" s="15">
        <v>2025</v>
      </c>
      <c r="F120" s="15" t="s">
        <v>405</v>
      </c>
      <c r="G120" s="15" t="s">
        <v>18</v>
      </c>
      <c r="H120" s="15" t="s">
        <v>19</v>
      </c>
      <c r="I120" s="15" t="s">
        <v>21</v>
      </c>
      <c r="J120" s="15" t="s">
        <v>20</v>
      </c>
      <c r="K120" s="15" t="s">
        <v>22</v>
      </c>
      <c r="L120" s="15" t="s">
        <v>19</v>
      </c>
      <c r="M120" s="17">
        <v>1247</v>
      </c>
      <c r="N120" s="17">
        <v>12</v>
      </c>
      <c r="O120" s="15" t="s">
        <v>406</v>
      </c>
      <c r="P120" s="15" t="str">
        <f t="shared" si="21"/>
        <v>Student Experience &amp; Campus</v>
      </c>
      <c r="Q120" s="15" t="str">
        <f t="shared" si="22"/>
        <v>Student Experience &amp; Campus</v>
      </c>
      <c r="R120" s="15" t="str">
        <f t="shared" si="23"/>
        <v>Engagement/Relationship</v>
      </c>
      <c r="S120" s="15" t="str">
        <f t="shared" si="24"/>
        <v>OK</v>
      </c>
      <c r="T120" s="15" t="str">
        <f t="shared" si="25"/>
        <v>OK</v>
      </c>
      <c r="U120" s="15" t="str">
        <f t="shared" si="26"/>
        <v>OK</v>
      </c>
      <c r="V120" s="15" t="str">
        <f t="shared" si="27"/>
        <v>OK</v>
      </c>
    </row>
    <row r="121" spans="1:22" ht="72" x14ac:dyDescent="0.3">
      <c r="A121" s="15" t="s">
        <v>407</v>
      </c>
      <c r="B121" s="15" t="s">
        <v>374</v>
      </c>
      <c r="C121" s="16">
        <v>45770</v>
      </c>
      <c r="D121" s="15" t="s">
        <v>602</v>
      </c>
      <c r="E121" s="15">
        <v>2025</v>
      </c>
      <c r="F121" s="15" t="s">
        <v>408</v>
      </c>
      <c r="G121" s="15" t="s">
        <v>18</v>
      </c>
      <c r="H121" s="15" t="s">
        <v>19</v>
      </c>
      <c r="I121" s="15" t="s">
        <v>60</v>
      </c>
      <c r="J121" s="15" t="s">
        <v>20</v>
      </c>
      <c r="K121" s="15" t="s">
        <v>66</v>
      </c>
      <c r="L121" s="15" t="s">
        <v>19</v>
      </c>
      <c r="M121" s="17">
        <v>715</v>
      </c>
      <c r="N121" s="17">
        <v>8</v>
      </c>
      <c r="O121" s="15" t="s">
        <v>409</v>
      </c>
      <c r="P121" s="15" t="str">
        <f t="shared" si="21"/>
        <v>Academic &amp; Admissions</v>
      </c>
      <c r="Q121" s="15" t="str">
        <f t="shared" si="22"/>
        <v>Student Experience &amp; Campus</v>
      </c>
      <c r="R121" s="15" t="str">
        <f t="shared" si="23"/>
        <v>Promotional/Conversion</v>
      </c>
      <c r="S121" s="15" t="str">
        <f t="shared" si="24"/>
        <v>OK</v>
      </c>
      <c r="T121" s="15" t="str">
        <f t="shared" si="25"/>
        <v>OK</v>
      </c>
      <c r="U121" s="15" t="str">
        <f t="shared" si="26"/>
        <v>OK</v>
      </c>
      <c r="V121" s="15" t="str">
        <f t="shared" si="27"/>
        <v>OK</v>
      </c>
    </row>
    <row r="122" spans="1:22" ht="86.4" x14ac:dyDescent="0.3">
      <c r="A122" s="15" t="s">
        <v>410</v>
      </c>
      <c r="B122" s="15" t="s">
        <v>374</v>
      </c>
      <c r="C122" s="16">
        <v>45790</v>
      </c>
      <c r="D122" s="15" t="s">
        <v>603</v>
      </c>
      <c r="E122" s="15">
        <v>2025</v>
      </c>
      <c r="F122" s="15" t="s">
        <v>411</v>
      </c>
      <c r="G122" s="15" t="s">
        <v>26</v>
      </c>
      <c r="H122" s="15" t="s">
        <v>19</v>
      </c>
      <c r="I122" s="15" t="s">
        <v>39</v>
      </c>
      <c r="J122" s="15" t="s">
        <v>27</v>
      </c>
      <c r="K122" s="15" t="s">
        <v>55</v>
      </c>
      <c r="L122" s="15" t="s">
        <v>56</v>
      </c>
      <c r="M122" s="17">
        <v>739</v>
      </c>
      <c r="N122" s="17">
        <v>6</v>
      </c>
      <c r="O122" s="15" t="s">
        <v>412</v>
      </c>
      <c r="P122" s="15" t="str">
        <f t="shared" si="21"/>
        <v>Research &amp; Innovation</v>
      </c>
      <c r="Q122" s="15" t="str">
        <f t="shared" si="22"/>
        <v>Institutional Reputation</v>
      </c>
      <c r="R122" s="15" t="str">
        <f t="shared" si="23"/>
        <v>Engagement/Relationship</v>
      </c>
      <c r="S122" s="15" t="str">
        <f t="shared" si="24"/>
        <v>OK</v>
      </c>
      <c r="T122" s="15" t="str">
        <f t="shared" si="25"/>
        <v>OK</v>
      </c>
      <c r="U122" s="15" t="str">
        <f t="shared" si="26"/>
        <v>OK</v>
      </c>
      <c r="V122" s="15" t="str">
        <f t="shared" si="27"/>
        <v>OK</v>
      </c>
    </row>
    <row r="123" spans="1:22" ht="57.6" x14ac:dyDescent="0.3">
      <c r="A123" s="15" t="s">
        <v>413</v>
      </c>
      <c r="B123" s="15" t="s">
        <v>374</v>
      </c>
      <c r="C123" s="16">
        <v>45798</v>
      </c>
      <c r="D123" s="15" t="s">
        <v>603</v>
      </c>
      <c r="E123" s="15">
        <v>2025</v>
      </c>
      <c r="F123" s="15" t="s">
        <v>414</v>
      </c>
      <c r="G123" s="15" t="s">
        <v>18</v>
      </c>
      <c r="H123" s="15" t="s">
        <v>19</v>
      </c>
      <c r="I123" s="15" t="s">
        <v>20</v>
      </c>
      <c r="J123" s="15" t="s">
        <v>101</v>
      </c>
      <c r="K123" s="15" t="s">
        <v>62</v>
      </c>
      <c r="L123" s="15" t="s">
        <v>19</v>
      </c>
      <c r="M123" s="17">
        <v>726</v>
      </c>
      <c r="N123" s="17">
        <v>14</v>
      </c>
      <c r="O123" s="15" t="s">
        <v>415</v>
      </c>
      <c r="P123" s="15" t="str">
        <f t="shared" si="21"/>
        <v>Student Experience &amp; Campus</v>
      </c>
      <c r="Q123" s="15" t="str">
        <f t="shared" si="22"/>
        <v>Career &amp; Alumni</v>
      </c>
      <c r="R123" s="15" t="str">
        <f t="shared" si="23"/>
        <v>Promotional/Conversion</v>
      </c>
      <c r="S123" s="15" t="str">
        <f t="shared" si="24"/>
        <v>OK</v>
      </c>
      <c r="T123" s="15" t="str">
        <f t="shared" si="25"/>
        <v>OK</v>
      </c>
      <c r="U123" s="15" t="str">
        <f t="shared" si="26"/>
        <v>OK</v>
      </c>
      <c r="V123" s="15" t="str">
        <f t="shared" si="27"/>
        <v>OK</v>
      </c>
    </row>
    <row r="124" spans="1:22" ht="57.6" x14ac:dyDescent="0.3">
      <c r="A124" s="15" t="s">
        <v>416</v>
      </c>
      <c r="B124" s="15" t="s">
        <v>374</v>
      </c>
      <c r="C124" s="16">
        <v>45784</v>
      </c>
      <c r="D124" s="15" t="str">
        <f>IF(C124="","",TEXT(C124,"mmmm"))</f>
        <v>May</v>
      </c>
      <c r="E124" s="15">
        <f>IF(C124="","",YEAR(C124))</f>
        <v>2025</v>
      </c>
      <c r="F124" s="15" t="s">
        <v>417</v>
      </c>
      <c r="G124" s="15" t="s">
        <v>18</v>
      </c>
      <c r="H124" s="15" t="s">
        <v>19</v>
      </c>
      <c r="I124" s="15" t="s">
        <v>33</v>
      </c>
      <c r="J124" s="15" t="s">
        <v>61</v>
      </c>
      <c r="K124" s="15" t="s">
        <v>55</v>
      </c>
      <c r="L124" s="15" t="s">
        <v>56</v>
      </c>
      <c r="M124" s="17">
        <v>617</v>
      </c>
      <c r="N124" s="17">
        <v>7</v>
      </c>
      <c r="O124" s="15" t="s">
        <v>418</v>
      </c>
      <c r="P124" s="15" t="str">
        <f t="shared" si="21"/>
        <v>Career &amp; Alumni</v>
      </c>
      <c r="Q124" s="15" t="str">
        <f t="shared" si="22"/>
        <v>Student Experience &amp; Campus</v>
      </c>
      <c r="R124" s="15" t="str">
        <f t="shared" si="23"/>
        <v>Engagement/Relationship</v>
      </c>
      <c r="S124" s="15" t="str">
        <f t="shared" si="24"/>
        <v>OK</v>
      </c>
      <c r="T124" s="15" t="str">
        <f t="shared" si="25"/>
        <v>OK</v>
      </c>
      <c r="U124" s="15" t="str">
        <f t="shared" si="26"/>
        <v>OK</v>
      </c>
      <c r="V124" s="15" t="str">
        <f t="shared" si="27"/>
        <v>OK</v>
      </c>
    </row>
    <row r="125" spans="1:22" ht="86.4" x14ac:dyDescent="0.3">
      <c r="A125" s="15" t="s">
        <v>419</v>
      </c>
      <c r="B125" s="15" t="s">
        <v>374</v>
      </c>
      <c r="C125" s="16">
        <v>45810</v>
      </c>
      <c r="D125" s="15" t="s">
        <v>88</v>
      </c>
      <c r="E125" s="15">
        <v>2025</v>
      </c>
      <c r="F125" s="15" t="s">
        <v>420</v>
      </c>
      <c r="G125" s="15" t="s">
        <v>18</v>
      </c>
      <c r="H125" s="15" t="s">
        <v>19</v>
      </c>
      <c r="I125" s="15" t="s">
        <v>20</v>
      </c>
      <c r="J125" s="15" t="s">
        <v>48</v>
      </c>
      <c r="K125" s="15" t="s">
        <v>35</v>
      </c>
      <c r="L125" s="15" t="s">
        <v>56</v>
      </c>
      <c r="M125" s="17">
        <v>299</v>
      </c>
      <c r="N125" s="17">
        <v>7</v>
      </c>
      <c r="O125" s="15" t="s">
        <v>421</v>
      </c>
      <c r="P125" s="15" t="str">
        <f t="shared" si="21"/>
        <v>Student Experience &amp; Campus</v>
      </c>
      <c r="Q125" s="15" t="str">
        <f t="shared" si="22"/>
        <v>Student Experience &amp; Campus</v>
      </c>
      <c r="R125" s="15" t="str">
        <f t="shared" si="23"/>
        <v>Engagement/Relationship</v>
      </c>
      <c r="S125" s="15" t="str">
        <f t="shared" si="24"/>
        <v>OK</v>
      </c>
      <c r="T125" s="15" t="str">
        <f t="shared" si="25"/>
        <v>OK</v>
      </c>
      <c r="U125" s="15" t="str">
        <f t="shared" si="26"/>
        <v>OK</v>
      </c>
      <c r="V125" s="15" t="str">
        <f t="shared" si="27"/>
        <v>OK</v>
      </c>
    </row>
    <row r="126" spans="1:22" ht="57.6" x14ac:dyDescent="0.3">
      <c r="A126" s="15" t="s">
        <v>422</v>
      </c>
      <c r="B126" s="15" t="s">
        <v>374</v>
      </c>
      <c r="C126" s="16">
        <v>45825</v>
      </c>
      <c r="D126" s="15" t="s">
        <v>88</v>
      </c>
      <c r="E126" s="15">
        <v>2025</v>
      </c>
      <c r="F126" s="15" t="s">
        <v>423</v>
      </c>
      <c r="G126" s="15" t="s">
        <v>26</v>
      </c>
      <c r="H126" s="15" t="s">
        <v>19</v>
      </c>
      <c r="I126" s="15" t="s">
        <v>20</v>
      </c>
      <c r="J126" s="15" t="s">
        <v>21</v>
      </c>
      <c r="K126" s="15" t="s">
        <v>55</v>
      </c>
      <c r="L126" s="15" t="s">
        <v>56</v>
      </c>
      <c r="M126" s="17">
        <v>2763</v>
      </c>
      <c r="N126" s="17">
        <v>14</v>
      </c>
      <c r="O126" s="15" t="s">
        <v>424</v>
      </c>
      <c r="P126" s="15" t="str">
        <f t="shared" si="21"/>
        <v>Student Experience &amp; Campus</v>
      </c>
      <c r="Q126" s="15" t="str">
        <f t="shared" si="22"/>
        <v>Student Experience &amp; Campus</v>
      </c>
      <c r="R126" s="15" t="str">
        <f t="shared" si="23"/>
        <v>Engagement/Relationship</v>
      </c>
      <c r="S126" s="15" t="str">
        <f t="shared" si="24"/>
        <v>OK</v>
      </c>
      <c r="T126" s="15" t="str">
        <f t="shared" si="25"/>
        <v>OK</v>
      </c>
      <c r="U126" s="15" t="str">
        <f t="shared" si="26"/>
        <v>OK</v>
      </c>
      <c r="V126" s="15" t="str">
        <f t="shared" si="27"/>
        <v>OK</v>
      </c>
    </row>
    <row r="127" spans="1:22" ht="100.8" x14ac:dyDescent="0.3">
      <c r="A127" s="15" t="s">
        <v>425</v>
      </c>
      <c r="B127" s="15" t="s">
        <v>374</v>
      </c>
      <c r="C127" s="16">
        <v>45838</v>
      </c>
      <c r="D127" s="15" t="s">
        <v>88</v>
      </c>
      <c r="E127" s="15">
        <v>2025</v>
      </c>
      <c r="F127" s="15" t="s">
        <v>426</v>
      </c>
      <c r="G127" s="15" t="s">
        <v>18</v>
      </c>
      <c r="H127" s="15" t="s">
        <v>19</v>
      </c>
      <c r="I127" s="15" t="s">
        <v>60</v>
      </c>
      <c r="J127" s="15" t="s">
        <v>97</v>
      </c>
      <c r="K127" s="15" t="s">
        <v>22</v>
      </c>
      <c r="L127" s="15" t="s">
        <v>56</v>
      </c>
      <c r="M127" s="17">
        <v>320</v>
      </c>
      <c r="N127" s="17">
        <v>6</v>
      </c>
      <c r="O127" s="15" t="s">
        <v>427</v>
      </c>
      <c r="P127" s="15" t="str">
        <f t="shared" si="21"/>
        <v>Academic &amp; Admissions</v>
      </c>
      <c r="Q127" s="15" t="str">
        <f t="shared" si="22"/>
        <v>Other</v>
      </c>
      <c r="R127" s="15" t="str">
        <f t="shared" si="23"/>
        <v>Engagement/Relationship</v>
      </c>
      <c r="S127" s="15" t="str">
        <f t="shared" si="24"/>
        <v>OK</v>
      </c>
      <c r="T127" s="15" t="str">
        <f t="shared" si="25"/>
        <v>OK</v>
      </c>
      <c r="U127" s="15" t="str">
        <f t="shared" si="26"/>
        <v>OK</v>
      </c>
      <c r="V127" s="15" t="str">
        <f t="shared" si="27"/>
        <v>OK</v>
      </c>
    </row>
    <row r="128" spans="1:22" ht="72" x14ac:dyDescent="0.3">
      <c r="A128" s="15" t="s">
        <v>428</v>
      </c>
      <c r="B128" s="15" t="s">
        <v>374</v>
      </c>
      <c r="C128" s="16">
        <v>45868</v>
      </c>
      <c r="D128" s="15" t="s">
        <v>604</v>
      </c>
      <c r="E128" s="15">
        <v>2025</v>
      </c>
      <c r="F128" s="15" t="s">
        <v>429</v>
      </c>
      <c r="G128" s="15" t="s">
        <v>18</v>
      </c>
      <c r="H128" s="15" t="s">
        <v>19</v>
      </c>
      <c r="I128" s="15" t="s">
        <v>60</v>
      </c>
      <c r="J128" s="15" t="s">
        <v>20</v>
      </c>
      <c r="K128" s="15" t="s">
        <v>66</v>
      </c>
      <c r="L128" s="15" t="s">
        <v>19</v>
      </c>
      <c r="M128" s="17">
        <v>900</v>
      </c>
      <c r="N128" s="17">
        <v>39</v>
      </c>
      <c r="O128" s="15" t="s">
        <v>430</v>
      </c>
      <c r="P128" s="15" t="str">
        <f t="shared" si="21"/>
        <v>Academic &amp; Admissions</v>
      </c>
      <c r="Q128" s="15" t="str">
        <f t="shared" si="22"/>
        <v>Student Experience &amp; Campus</v>
      </c>
      <c r="R128" s="15" t="str">
        <f t="shared" si="23"/>
        <v>Promotional/Conversion</v>
      </c>
      <c r="S128" s="15" t="str">
        <f t="shared" si="24"/>
        <v>OK</v>
      </c>
      <c r="T128" s="15" t="str">
        <f t="shared" si="25"/>
        <v>OK</v>
      </c>
      <c r="U128" s="15" t="str">
        <f t="shared" si="26"/>
        <v>OK</v>
      </c>
      <c r="V128" s="15" t="str">
        <f t="shared" si="27"/>
        <v>OK</v>
      </c>
    </row>
    <row r="129" spans="1:22" ht="129.6" x14ac:dyDescent="0.3">
      <c r="A129" s="15" t="s">
        <v>431</v>
      </c>
      <c r="B129" s="15" t="s">
        <v>374</v>
      </c>
      <c r="C129" s="16">
        <v>45846</v>
      </c>
      <c r="D129" s="15" t="str">
        <f>IF(C129="","",TEXT(C129,"mmmm"))</f>
        <v>July</v>
      </c>
      <c r="E129" s="15">
        <f>IF(C129="","",YEAR(C129))</f>
        <v>2025</v>
      </c>
      <c r="F129" s="15" t="s">
        <v>432</v>
      </c>
      <c r="G129" s="15" t="s">
        <v>18</v>
      </c>
      <c r="H129" s="15" t="s">
        <v>19</v>
      </c>
      <c r="I129" s="15" t="s">
        <v>39</v>
      </c>
      <c r="J129" s="15" t="s">
        <v>124</v>
      </c>
      <c r="K129" s="15" t="s">
        <v>29</v>
      </c>
      <c r="L129" s="15" t="s">
        <v>19</v>
      </c>
      <c r="M129" s="17">
        <v>149</v>
      </c>
      <c r="N129" s="17">
        <v>3</v>
      </c>
      <c r="O129" s="15" t="s">
        <v>433</v>
      </c>
      <c r="P129" s="15" t="str">
        <f t="shared" si="21"/>
        <v>Research &amp; Innovation</v>
      </c>
      <c r="Q129" s="15" t="str">
        <f t="shared" si="22"/>
        <v>Student Experience &amp; Campus</v>
      </c>
      <c r="R129" s="15" t="str">
        <f t="shared" si="23"/>
        <v>Reputation-focused</v>
      </c>
      <c r="S129" s="15" t="str">
        <f t="shared" si="24"/>
        <v>OK</v>
      </c>
      <c r="T129" s="15" t="str">
        <f t="shared" si="25"/>
        <v>OK</v>
      </c>
      <c r="U129" s="15" t="str">
        <f t="shared" si="26"/>
        <v>OK</v>
      </c>
      <c r="V129" s="15" t="str">
        <f t="shared" si="27"/>
        <v>OK</v>
      </c>
    </row>
    <row r="130" spans="1:22" ht="72" x14ac:dyDescent="0.3">
      <c r="A130" s="15" t="s">
        <v>434</v>
      </c>
      <c r="B130" s="15" t="s">
        <v>374</v>
      </c>
      <c r="C130" s="16">
        <v>45854</v>
      </c>
      <c r="D130" s="15" t="str">
        <f>IF(C130="","",TEXT(C130,"mmmm"))</f>
        <v>July</v>
      </c>
      <c r="E130" s="15">
        <f>IF(C130="","",YEAR(C130))</f>
        <v>2025</v>
      </c>
      <c r="F130" s="15" t="s">
        <v>435</v>
      </c>
      <c r="G130" s="15" t="s">
        <v>18</v>
      </c>
      <c r="H130" s="15" t="s">
        <v>19</v>
      </c>
      <c r="I130" s="15" t="s">
        <v>20</v>
      </c>
      <c r="J130" s="15" t="s">
        <v>162</v>
      </c>
      <c r="K130" s="15" t="s">
        <v>66</v>
      </c>
      <c r="L130" s="15" t="s">
        <v>19</v>
      </c>
      <c r="M130" s="17">
        <v>386</v>
      </c>
      <c r="N130" s="17">
        <v>8</v>
      </c>
      <c r="O130" s="15" t="s">
        <v>436</v>
      </c>
      <c r="P130" s="15" t="str">
        <f t="shared" ref="P130:P161" si="28">IF(OR(I130="Student Experience",I130="Campus Life",I130="Campus Facilities",I130="Student Clubs &amp; Organizations",I130="Events",I130="Student Support Services",I130="Diversity &amp; Inclusion",I130="International Students"),"Student Experience &amp; Campus",IF(OR(I130="Academic Programs",I130="Admissions",I130="Scholarships &amp; Financial Aid"),"Academic &amp; Admissions",IF(OR(I130="Career Opportunities",I130="Alumni Success"),"Career &amp; Alumni",IF(I130="Research &amp; Innovation","Research &amp; Innovation",IF(I130="Rankings &amp; Achievements","Institutional Reputation","Other")))))</f>
        <v>Student Experience &amp; Campus</v>
      </c>
      <c r="Q130" s="15" t="str">
        <f t="shared" ref="Q130:Q161" si="29">IF(OR(J130="Student Experience",J130="Campus Life",J130="Campus Facilities",J130="Student Clubs &amp; Organizations",J130="Events",J130="Student Support Services",J130="Diversity &amp; Inclusion",J130="International Students"),"Student Experience &amp; Campus",IF(OR(J130="Academic Programs",J130="Admissions",J130="Scholarships &amp; Financial Aid"),"Academic &amp; Admissions",IF(OR(J130="Career Opportunities",J130="Alumni Success"),"Career &amp; Alumni",IF(J130="Research &amp; Innovation","Research &amp; Innovation",IF(J130="Rankings &amp; Achievements","Institutional Reputation","Other")))))</f>
        <v>Student Experience &amp; Campus</v>
      </c>
      <c r="R130" s="15" t="str">
        <f t="shared" ref="R130:R161" si="30">IF(K130="Informational","Informational",IF(OR(K130="Promotional",K130="Call-to-Action"),"Promotional/Conversion",IF(K130="Reputation Building","Reputation-focused","Engagement/Relationship")))</f>
        <v>Promotional/Conversion</v>
      </c>
      <c r="S130" s="15" t="str">
        <f t="shared" ref="S130:S161" si="31">IF(COUNTIF($A$2:$A$181,A130)&gt;1,"Duplicate","OK")</f>
        <v>OK</v>
      </c>
      <c r="T130" s="15" t="str">
        <f t="shared" ref="T130:T161" si="32">IF(COUNTIF($F$2:$F$181,F130)&gt;1,"Duplicate","OK")</f>
        <v>OK</v>
      </c>
      <c r="U130" s="15" t="str">
        <f t="shared" ref="U130:U161" si="33">IF(AND(TEXT(C130,"mmmm")=D130,YEAR(C130)=E130),"OK","Mismatch")</f>
        <v>OK</v>
      </c>
      <c r="V130" s="15" t="str">
        <f t="shared" ref="V130:V161" si="34">IF(OR(M130="NA",N130="NA"),"Likes/comments unavailable",IF(I130=J130,"Primary and secondary themes identical","OK"))</f>
        <v>OK</v>
      </c>
    </row>
    <row r="131" spans="1:22" ht="72" x14ac:dyDescent="0.3">
      <c r="A131" s="15" t="s">
        <v>437</v>
      </c>
      <c r="B131" s="15" t="s">
        <v>374</v>
      </c>
      <c r="C131" s="16">
        <v>45876</v>
      </c>
      <c r="D131" s="15" t="s">
        <v>605</v>
      </c>
      <c r="E131" s="15">
        <v>2025</v>
      </c>
      <c r="F131" s="15" t="s">
        <v>438</v>
      </c>
      <c r="G131" s="15" t="s">
        <v>18</v>
      </c>
      <c r="H131" s="15" t="s">
        <v>19</v>
      </c>
      <c r="I131" s="15" t="s">
        <v>70</v>
      </c>
      <c r="J131" s="15" t="s">
        <v>21</v>
      </c>
      <c r="K131" s="15" t="s">
        <v>66</v>
      </c>
      <c r="L131" s="15" t="s">
        <v>19</v>
      </c>
      <c r="M131" s="17">
        <v>1085</v>
      </c>
      <c r="N131" s="17">
        <v>11</v>
      </c>
      <c r="O131" s="15" t="s">
        <v>439</v>
      </c>
      <c r="P131" s="15" t="str">
        <f t="shared" si="28"/>
        <v>Student Experience &amp; Campus</v>
      </c>
      <c r="Q131" s="15" t="str">
        <f t="shared" si="29"/>
        <v>Student Experience &amp; Campus</v>
      </c>
      <c r="R131" s="15" t="str">
        <f t="shared" si="30"/>
        <v>Promotional/Conversion</v>
      </c>
      <c r="S131" s="15" t="str">
        <f t="shared" si="31"/>
        <v>OK</v>
      </c>
      <c r="T131" s="15" t="str">
        <f t="shared" si="32"/>
        <v>OK</v>
      </c>
      <c r="U131" s="15" t="str">
        <f t="shared" si="33"/>
        <v>OK</v>
      </c>
      <c r="V131" s="15" t="str">
        <f t="shared" si="34"/>
        <v>OK</v>
      </c>
    </row>
    <row r="132" spans="1:22" ht="57.6" x14ac:dyDescent="0.3">
      <c r="A132" s="15" t="s">
        <v>440</v>
      </c>
      <c r="B132" s="15" t="s">
        <v>374</v>
      </c>
      <c r="C132" s="16">
        <v>45888</v>
      </c>
      <c r="D132" s="15" t="str">
        <f>IF(C132="","",TEXT(C132,"mmmm"))</f>
        <v>August</v>
      </c>
      <c r="E132" s="15">
        <f>IF(C132="","",YEAR(C132))</f>
        <v>2025</v>
      </c>
      <c r="F132" s="15" t="s">
        <v>441</v>
      </c>
      <c r="G132" s="15" t="s">
        <v>18</v>
      </c>
      <c r="H132" s="15" t="s">
        <v>19</v>
      </c>
      <c r="I132" s="15" t="s">
        <v>20</v>
      </c>
      <c r="J132" s="15" t="s">
        <v>28</v>
      </c>
      <c r="K132" s="15" t="s">
        <v>66</v>
      </c>
      <c r="L132" s="15" t="s">
        <v>19</v>
      </c>
      <c r="M132" s="17">
        <v>378</v>
      </c>
      <c r="N132" s="17">
        <v>9</v>
      </c>
      <c r="O132" s="15" t="s">
        <v>442</v>
      </c>
      <c r="P132" s="15" t="str">
        <f t="shared" si="28"/>
        <v>Student Experience &amp; Campus</v>
      </c>
      <c r="Q132" s="15" t="str">
        <f t="shared" si="29"/>
        <v>Academic &amp; Admissions</v>
      </c>
      <c r="R132" s="15" t="str">
        <f t="shared" si="30"/>
        <v>Promotional/Conversion</v>
      </c>
      <c r="S132" s="15" t="str">
        <f t="shared" si="31"/>
        <v>OK</v>
      </c>
      <c r="T132" s="15" t="str">
        <f t="shared" si="32"/>
        <v>OK</v>
      </c>
      <c r="U132" s="15" t="str">
        <f t="shared" si="33"/>
        <v>OK</v>
      </c>
      <c r="V132" s="15" t="str">
        <f t="shared" si="34"/>
        <v>OK</v>
      </c>
    </row>
    <row r="133" spans="1:22" ht="100.8" x14ac:dyDescent="0.3">
      <c r="A133" s="15" t="s">
        <v>443</v>
      </c>
      <c r="B133" s="15" t="s">
        <v>374</v>
      </c>
      <c r="C133" s="16">
        <v>45896</v>
      </c>
      <c r="D133" s="15" t="s">
        <v>605</v>
      </c>
      <c r="E133" s="15">
        <v>2025</v>
      </c>
      <c r="F133" s="15" t="s">
        <v>444</v>
      </c>
      <c r="G133" s="15" t="s">
        <v>18</v>
      </c>
      <c r="H133" s="15" t="s">
        <v>19</v>
      </c>
      <c r="I133" s="15" t="s">
        <v>20</v>
      </c>
      <c r="J133" s="15" t="s">
        <v>21</v>
      </c>
      <c r="K133" s="15" t="s">
        <v>22</v>
      </c>
      <c r="L133" s="15" t="s">
        <v>19</v>
      </c>
      <c r="M133" s="17">
        <v>911</v>
      </c>
      <c r="N133" s="17">
        <v>5</v>
      </c>
      <c r="O133" s="15" t="s">
        <v>445</v>
      </c>
      <c r="P133" s="15" t="str">
        <f t="shared" si="28"/>
        <v>Student Experience &amp; Campus</v>
      </c>
      <c r="Q133" s="15" t="str">
        <f t="shared" si="29"/>
        <v>Student Experience &amp; Campus</v>
      </c>
      <c r="R133" s="15" t="str">
        <f t="shared" si="30"/>
        <v>Engagement/Relationship</v>
      </c>
      <c r="S133" s="15" t="str">
        <f t="shared" si="31"/>
        <v>OK</v>
      </c>
      <c r="T133" s="15" t="str">
        <f t="shared" si="32"/>
        <v>OK</v>
      </c>
      <c r="U133" s="15" t="str">
        <f t="shared" si="33"/>
        <v>OK</v>
      </c>
      <c r="V133" s="15" t="str">
        <f t="shared" si="34"/>
        <v>OK</v>
      </c>
    </row>
    <row r="134" spans="1:22" ht="57.6" x14ac:dyDescent="0.3">
      <c r="A134" s="15" t="s">
        <v>446</v>
      </c>
      <c r="B134" s="15" t="s">
        <v>374</v>
      </c>
      <c r="C134" s="16">
        <v>45546</v>
      </c>
      <c r="D134" s="15" t="str">
        <f>IF(C134="","",TEXT(C134,"mmmm"))</f>
        <v>September</v>
      </c>
      <c r="E134" s="15">
        <f>IF(C134="","",YEAR(C134))</f>
        <v>2024</v>
      </c>
      <c r="F134" s="15" t="s">
        <v>447</v>
      </c>
      <c r="G134" s="15" t="s">
        <v>18</v>
      </c>
      <c r="H134" s="15" t="s">
        <v>19</v>
      </c>
      <c r="I134" s="15" t="s">
        <v>20</v>
      </c>
      <c r="J134" s="15" t="s">
        <v>20</v>
      </c>
      <c r="K134" s="15" t="s">
        <v>43</v>
      </c>
      <c r="L134" s="15" t="s">
        <v>56</v>
      </c>
      <c r="M134" s="17">
        <v>1774</v>
      </c>
      <c r="N134" s="17">
        <v>13</v>
      </c>
      <c r="O134" s="15" t="s">
        <v>448</v>
      </c>
      <c r="P134" s="15" t="str">
        <f t="shared" si="28"/>
        <v>Student Experience &amp; Campus</v>
      </c>
      <c r="Q134" s="15" t="str">
        <f t="shared" si="29"/>
        <v>Student Experience &amp; Campus</v>
      </c>
      <c r="R134" s="15" t="str">
        <f t="shared" si="30"/>
        <v>Engagement/Relationship</v>
      </c>
      <c r="S134" s="15" t="str">
        <f t="shared" si="31"/>
        <v>OK</v>
      </c>
      <c r="T134" s="15" t="str">
        <f t="shared" si="32"/>
        <v>OK</v>
      </c>
      <c r="U134" s="15" t="str">
        <f t="shared" si="33"/>
        <v>OK</v>
      </c>
      <c r="V134" s="15" t="str">
        <f t="shared" si="34"/>
        <v>Primary and secondary themes identical</v>
      </c>
    </row>
    <row r="135" spans="1:22" ht="86.4" x14ac:dyDescent="0.3">
      <c r="A135" s="15" t="s">
        <v>449</v>
      </c>
      <c r="B135" s="15" t="s">
        <v>374</v>
      </c>
      <c r="C135" s="16">
        <v>45562</v>
      </c>
      <c r="D135" s="15" t="s">
        <v>606</v>
      </c>
      <c r="E135" s="15">
        <v>2024</v>
      </c>
      <c r="F135" s="15" t="s">
        <v>450</v>
      </c>
      <c r="G135" s="15" t="s">
        <v>18</v>
      </c>
      <c r="H135" s="15" t="s">
        <v>19</v>
      </c>
      <c r="I135" s="15" t="s">
        <v>27</v>
      </c>
      <c r="J135" s="15" t="s">
        <v>28</v>
      </c>
      <c r="K135" s="15" t="s">
        <v>29</v>
      </c>
      <c r="L135" s="15" t="s">
        <v>56</v>
      </c>
      <c r="M135" s="17">
        <v>724</v>
      </c>
      <c r="N135" s="17">
        <v>16</v>
      </c>
      <c r="O135" s="15" t="s">
        <v>451</v>
      </c>
      <c r="P135" s="15" t="str">
        <f t="shared" si="28"/>
        <v>Institutional Reputation</v>
      </c>
      <c r="Q135" s="15" t="str">
        <f t="shared" si="29"/>
        <v>Academic &amp; Admissions</v>
      </c>
      <c r="R135" s="15" t="str">
        <f t="shared" si="30"/>
        <v>Reputation-focused</v>
      </c>
      <c r="S135" s="15" t="str">
        <f t="shared" si="31"/>
        <v>OK</v>
      </c>
      <c r="T135" s="15" t="str">
        <f t="shared" si="32"/>
        <v>OK</v>
      </c>
      <c r="U135" s="15" t="str">
        <f t="shared" si="33"/>
        <v>OK</v>
      </c>
      <c r="V135" s="15" t="str">
        <f t="shared" si="34"/>
        <v>OK</v>
      </c>
    </row>
    <row r="136" spans="1:22" ht="57.6" x14ac:dyDescent="0.3">
      <c r="A136" s="15" t="s">
        <v>452</v>
      </c>
      <c r="B136" s="15" t="s">
        <v>374</v>
      </c>
      <c r="C136" s="16">
        <v>45541</v>
      </c>
      <c r="D136" s="15" t="s">
        <v>606</v>
      </c>
      <c r="E136" s="15">
        <v>2024</v>
      </c>
      <c r="F136" s="15" t="s">
        <v>453</v>
      </c>
      <c r="G136" s="15" t="s">
        <v>18</v>
      </c>
      <c r="H136" s="15" t="s">
        <v>19</v>
      </c>
      <c r="I136" s="15" t="s">
        <v>21</v>
      </c>
      <c r="J136" s="15" t="s">
        <v>20</v>
      </c>
      <c r="K136" s="15" t="s">
        <v>35</v>
      </c>
      <c r="L136" s="15" t="s">
        <v>19</v>
      </c>
      <c r="M136" s="17">
        <v>649</v>
      </c>
      <c r="N136" s="17">
        <v>4</v>
      </c>
      <c r="O136" s="15" t="s">
        <v>454</v>
      </c>
      <c r="P136" s="15" t="str">
        <f t="shared" si="28"/>
        <v>Student Experience &amp; Campus</v>
      </c>
      <c r="Q136" s="15" t="str">
        <f t="shared" si="29"/>
        <v>Student Experience &amp; Campus</v>
      </c>
      <c r="R136" s="15" t="str">
        <f t="shared" si="30"/>
        <v>Engagement/Relationship</v>
      </c>
      <c r="S136" s="15" t="str">
        <f t="shared" si="31"/>
        <v>OK</v>
      </c>
      <c r="T136" s="15" t="str">
        <f t="shared" si="32"/>
        <v>OK</v>
      </c>
      <c r="U136" s="15" t="str">
        <f t="shared" si="33"/>
        <v>OK</v>
      </c>
      <c r="V136" s="15" t="str">
        <f t="shared" si="34"/>
        <v>OK</v>
      </c>
    </row>
    <row r="137" spans="1:22" ht="57.6" x14ac:dyDescent="0.3">
      <c r="A137" s="15" t="s">
        <v>455</v>
      </c>
      <c r="B137" s="15" t="s">
        <v>374</v>
      </c>
      <c r="C137" s="16">
        <v>45570</v>
      </c>
      <c r="D137" s="15" t="s">
        <v>607</v>
      </c>
      <c r="E137" s="15">
        <v>2024</v>
      </c>
      <c r="F137" s="15" t="s">
        <v>456</v>
      </c>
      <c r="G137" s="15" t="s">
        <v>26</v>
      </c>
      <c r="H137" s="15" t="s">
        <v>19</v>
      </c>
      <c r="I137" s="15" t="s">
        <v>60</v>
      </c>
      <c r="J137" s="15" t="s">
        <v>21</v>
      </c>
      <c r="K137" s="15" t="s">
        <v>62</v>
      </c>
      <c r="L137" s="15" t="s">
        <v>19</v>
      </c>
      <c r="M137" s="17">
        <v>2472</v>
      </c>
      <c r="N137" s="17">
        <v>6</v>
      </c>
      <c r="O137" s="15" t="s">
        <v>457</v>
      </c>
      <c r="P137" s="15" t="str">
        <f t="shared" si="28"/>
        <v>Academic &amp; Admissions</v>
      </c>
      <c r="Q137" s="15" t="str">
        <f t="shared" si="29"/>
        <v>Student Experience &amp; Campus</v>
      </c>
      <c r="R137" s="15" t="str">
        <f t="shared" si="30"/>
        <v>Promotional/Conversion</v>
      </c>
      <c r="S137" s="15" t="str">
        <f t="shared" si="31"/>
        <v>OK</v>
      </c>
      <c r="T137" s="15" t="str">
        <f t="shared" si="32"/>
        <v>OK</v>
      </c>
      <c r="U137" s="15" t="str">
        <f t="shared" si="33"/>
        <v>OK</v>
      </c>
      <c r="V137" s="15" t="str">
        <f t="shared" si="34"/>
        <v>OK</v>
      </c>
    </row>
    <row r="138" spans="1:22" ht="57.6" x14ac:dyDescent="0.3">
      <c r="A138" s="15" t="s">
        <v>458</v>
      </c>
      <c r="B138" s="15" t="s">
        <v>374</v>
      </c>
      <c r="C138" s="16">
        <v>45581</v>
      </c>
      <c r="D138" s="15" t="s">
        <v>607</v>
      </c>
      <c r="E138" s="15">
        <v>2024</v>
      </c>
      <c r="F138" s="15" t="s">
        <v>459</v>
      </c>
      <c r="G138" s="15" t="s">
        <v>26</v>
      </c>
      <c r="H138" s="15" t="s">
        <v>19</v>
      </c>
      <c r="I138" s="15" t="s">
        <v>20</v>
      </c>
      <c r="J138" s="15" t="s">
        <v>34</v>
      </c>
      <c r="K138" s="15" t="s">
        <v>55</v>
      </c>
      <c r="L138" s="15" t="s">
        <v>56</v>
      </c>
      <c r="M138" s="17">
        <v>3008</v>
      </c>
      <c r="N138" s="17">
        <v>9</v>
      </c>
      <c r="O138" s="15" t="s">
        <v>460</v>
      </c>
      <c r="P138" s="15" t="str">
        <f t="shared" si="28"/>
        <v>Student Experience &amp; Campus</v>
      </c>
      <c r="Q138" s="15" t="str">
        <f t="shared" si="29"/>
        <v>Student Experience &amp; Campus</v>
      </c>
      <c r="R138" s="15" t="str">
        <f t="shared" si="30"/>
        <v>Engagement/Relationship</v>
      </c>
      <c r="S138" s="15" t="str">
        <f t="shared" si="31"/>
        <v>OK</v>
      </c>
      <c r="T138" s="15" t="str">
        <f t="shared" si="32"/>
        <v>OK</v>
      </c>
      <c r="U138" s="15" t="str">
        <f t="shared" si="33"/>
        <v>OK</v>
      </c>
      <c r="V138" s="15" t="str">
        <f t="shared" si="34"/>
        <v>OK</v>
      </c>
    </row>
    <row r="139" spans="1:22" ht="57.6" x14ac:dyDescent="0.3">
      <c r="A139" s="15" t="s">
        <v>461</v>
      </c>
      <c r="B139" s="15" t="s">
        <v>374</v>
      </c>
      <c r="C139" s="16">
        <v>45594</v>
      </c>
      <c r="D139" s="15" t="s">
        <v>607</v>
      </c>
      <c r="E139" s="15">
        <v>2024</v>
      </c>
      <c r="F139" s="15" t="s">
        <v>462</v>
      </c>
      <c r="G139" s="15" t="s">
        <v>18</v>
      </c>
      <c r="H139" s="15" t="s">
        <v>19</v>
      </c>
      <c r="I139" s="15" t="s">
        <v>60</v>
      </c>
      <c r="J139" s="15" t="s">
        <v>21</v>
      </c>
      <c r="K139" s="15" t="s">
        <v>62</v>
      </c>
      <c r="L139" s="15" t="s">
        <v>19</v>
      </c>
      <c r="M139" s="17">
        <v>237</v>
      </c>
      <c r="N139" s="17">
        <v>8</v>
      </c>
      <c r="O139" s="15" t="s">
        <v>463</v>
      </c>
      <c r="P139" s="15" t="str">
        <f t="shared" si="28"/>
        <v>Academic &amp; Admissions</v>
      </c>
      <c r="Q139" s="15" t="str">
        <f t="shared" si="29"/>
        <v>Student Experience &amp; Campus</v>
      </c>
      <c r="R139" s="15" t="str">
        <f t="shared" si="30"/>
        <v>Promotional/Conversion</v>
      </c>
      <c r="S139" s="15" t="str">
        <f t="shared" si="31"/>
        <v>OK</v>
      </c>
      <c r="T139" s="15" t="str">
        <f t="shared" si="32"/>
        <v>OK</v>
      </c>
      <c r="U139" s="15" t="str">
        <f t="shared" si="33"/>
        <v>OK</v>
      </c>
      <c r="V139" s="15" t="str">
        <f t="shared" si="34"/>
        <v>OK</v>
      </c>
    </row>
    <row r="140" spans="1:22" ht="57.6" x14ac:dyDescent="0.3">
      <c r="A140" s="15" t="s">
        <v>464</v>
      </c>
      <c r="B140" s="15" t="s">
        <v>374</v>
      </c>
      <c r="C140" s="16">
        <v>45603</v>
      </c>
      <c r="D140" s="15" t="s">
        <v>608</v>
      </c>
      <c r="E140" s="15">
        <v>2024</v>
      </c>
      <c r="F140" s="15" t="s">
        <v>465</v>
      </c>
      <c r="G140" s="15" t="s">
        <v>18</v>
      </c>
      <c r="H140" s="15" t="s">
        <v>19</v>
      </c>
      <c r="I140" s="15" t="s">
        <v>20</v>
      </c>
      <c r="J140" s="15" t="s">
        <v>101</v>
      </c>
      <c r="K140" s="15" t="s">
        <v>55</v>
      </c>
      <c r="L140" s="15" t="s">
        <v>56</v>
      </c>
      <c r="M140" s="17">
        <v>1375</v>
      </c>
      <c r="N140" s="17">
        <v>25</v>
      </c>
      <c r="O140" s="15" t="s">
        <v>466</v>
      </c>
      <c r="P140" s="15" t="str">
        <f t="shared" si="28"/>
        <v>Student Experience &amp; Campus</v>
      </c>
      <c r="Q140" s="15" t="str">
        <f t="shared" si="29"/>
        <v>Career &amp; Alumni</v>
      </c>
      <c r="R140" s="15" t="str">
        <f t="shared" si="30"/>
        <v>Engagement/Relationship</v>
      </c>
      <c r="S140" s="15" t="str">
        <f t="shared" si="31"/>
        <v>OK</v>
      </c>
      <c r="T140" s="15" t="str">
        <f t="shared" si="32"/>
        <v>OK</v>
      </c>
      <c r="U140" s="15" t="str">
        <f t="shared" si="33"/>
        <v>OK</v>
      </c>
      <c r="V140" s="15" t="str">
        <f t="shared" si="34"/>
        <v>OK</v>
      </c>
    </row>
    <row r="141" spans="1:22" ht="57.6" x14ac:dyDescent="0.3">
      <c r="A141" s="15" t="s">
        <v>467</v>
      </c>
      <c r="B141" s="15" t="s">
        <v>374</v>
      </c>
      <c r="C141" s="16">
        <v>45617</v>
      </c>
      <c r="D141" s="15" t="s">
        <v>608</v>
      </c>
      <c r="E141" s="15">
        <v>2024</v>
      </c>
      <c r="F141" s="15" t="s">
        <v>468</v>
      </c>
      <c r="G141" s="15" t="s">
        <v>18</v>
      </c>
      <c r="H141" s="15" t="s">
        <v>19</v>
      </c>
      <c r="I141" s="15" t="s">
        <v>20</v>
      </c>
      <c r="J141" s="15" t="s">
        <v>124</v>
      </c>
      <c r="K141" s="15" t="s">
        <v>22</v>
      </c>
      <c r="L141" s="15" t="s">
        <v>56</v>
      </c>
      <c r="M141" s="17">
        <v>485</v>
      </c>
      <c r="N141" s="17">
        <v>11</v>
      </c>
      <c r="O141" s="15" t="s">
        <v>469</v>
      </c>
      <c r="P141" s="15" t="str">
        <f t="shared" si="28"/>
        <v>Student Experience &amp; Campus</v>
      </c>
      <c r="Q141" s="15" t="str">
        <f t="shared" si="29"/>
        <v>Student Experience &amp; Campus</v>
      </c>
      <c r="R141" s="15" t="str">
        <f t="shared" si="30"/>
        <v>Engagement/Relationship</v>
      </c>
      <c r="S141" s="15" t="str">
        <f t="shared" si="31"/>
        <v>OK</v>
      </c>
      <c r="T141" s="15" t="str">
        <f t="shared" si="32"/>
        <v>OK</v>
      </c>
      <c r="U141" s="15" t="str">
        <f t="shared" si="33"/>
        <v>OK</v>
      </c>
      <c r="V141" s="15" t="str">
        <f t="shared" si="34"/>
        <v>OK</v>
      </c>
    </row>
    <row r="142" spans="1:22" ht="57.6" x14ac:dyDescent="0.3">
      <c r="A142" s="15" t="s">
        <v>470</v>
      </c>
      <c r="B142" s="15" t="s">
        <v>374</v>
      </c>
      <c r="C142" s="16">
        <v>45623</v>
      </c>
      <c r="D142" s="15" t="s">
        <v>608</v>
      </c>
      <c r="E142" s="15">
        <v>2024</v>
      </c>
      <c r="F142" s="15" t="s">
        <v>471</v>
      </c>
      <c r="G142" s="15" t="s">
        <v>47</v>
      </c>
      <c r="H142" s="15" t="s">
        <v>19</v>
      </c>
      <c r="I142" s="15" t="s">
        <v>120</v>
      </c>
      <c r="J142" s="15" t="s">
        <v>28</v>
      </c>
      <c r="K142" s="15" t="s">
        <v>93</v>
      </c>
      <c r="L142" s="15" t="s">
        <v>56</v>
      </c>
      <c r="M142" s="17">
        <v>1087</v>
      </c>
      <c r="N142" s="17">
        <v>12</v>
      </c>
      <c r="O142" s="15" t="s">
        <v>472</v>
      </c>
      <c r="P142" s="15" t="str">
        <f t="shared" si="28"/>
        <v>Academic &amp; Admissions</v>
      </c>
      <c r="Q142" s="15" t="str">
        <f t="shared" si="29"/>
        <v>Academic &amp; Admissions</v>
      </c>
      <c r="R142" s="15" t="str">
        <f t="shared" si="30"/>
        <v>Informational</v>
      </c>
      <c r="S142" s="15" t="str">
        <f t="shared" si="31"/>
        <v>OK</v>
      </c>
      <c r="T142" s="15" t="str">
        <f t="shared" si="32"/>
        <v>OK</v>
      </c>
      <c r="U142" s="15" t="str">
        <f t="shared" si="33"/>
        <v>OK</v>
      </c>
      <c r="V142" s="15" t="str">
        <f t="shared" si="34"/>
        <v>OK</v>
      </c>
    </row>
    <row r="143" spans="1:22" ht="57.6" x14ac:dyDescent="0.3">
      <c r="A143" s="15" t="s">
        <v>473</v>
      </c>
      <c r="B143" s="15" t="s">
        <v>374</v>
      </c>
      <c r="C143" s="16">
        <v>45628</v>
      </c>
      <c r="D143" s="15" t="s">
        <v>609</v>
      </c>
      <c r="E143" s="15">
        <v>2024</v>
      </c>
      <c r="F143" s="15" t="s">
        <v>474</v>
      </c>
      <c r="G143" s="15" t="s">
        <v>18</v>
      </c>
      <c r="H143" s="15" t="s">
        <v>19</v>
      </c>
      <c r="I143" s="15" t="s">
        <v>162</v>
      </c>
      <c r="J143" s="15" t="s">
        <v>20</v>
      </c>
      <c r="K143" s="15" t="s">
        <v>62</v>
      </c>
      <c r="L143" s="15" t="s">
        <v>19</v>
      </c>
      <c r="M143" s="17">
        <v>637</v>
      </c>
      <c r="N143" s="17">
        <v>1</v>
      </c>
      <c r="O143" s="15" t="s">
        <v>475</v>
      </c>
      <c r="P143" s="15" t="str">
        <f t="shared" si="28"/>
        <v>Student Experience &amp; Campus</v>
      </c>
      <c r="Q143" s="15" t="str">
        <f t="shared" si="29"/>
        <v>Student Experience &amp; Campus</v>
      </c>
      <c r="R143" s="15" t="str">
        <f t="shared" si="30"/>
        <v>Promotional/Conversion</v>
      </c>
      <c r="S143" s="15" t="str">
        <f t="shared" si="31"/>
        <v>OK</v>
      </c>
      <c r="T143" s="15" t="str">
        <f t="shared" si="32"/>
        <v>OK</v>
      </c>
      <c r="U143" s="15" t="str">
        <f t="shared" si="33"/>
        <v>OK</v>
      </c>
      <c r="V143" s="15" t="str">
        <f t="shared" si="34"/>
        <v>OK</v>
      </c>
    </row>
    <row r="144" spans="1:22" ht="72" x14ac:dyDescent="0.3">
      <c r="A144" s="15" t="s">
        <v>476</v>
      </c>
      <c r="B144" s="15" t="s">
        <v>374</v>
      </c>
      <c r="C144" s="16">
        <v>45629</v>
      </c>
      <c r="D144" s="15" t="str">
        <f>IF(C144="","",TEXT(C144,"mmmm"))</f>
        <v>December</v>
      </c>
      <c r="E144" s="15">
        <f>IF(C144="","",YEAR(C144))</f>
        <v>2024</v>
      </c>
      <c r="F144" s="15" t="s">
        <v>477</v>
      </c>
      <c r="G144" s="15" t="s">
        <v>18</v>
      </c>
      <c r="H144" s="15" t="s">
        <v>19</v>
      </c>
      <c r="I144" s="15" t="s">
        <v>28</v>
      </c>
      <c r="J144" s="15" t="s">
        <v>20</v>
      </c>
      <c r="K144" s="15" t="s">
        <v>43</v>
      </c>
      <c r="L144" s="15" t="s">
        <v>56</v>
      </c>
      <c r="M144" s="17">
        <v>2577</v>
      </c>
      <c r="N144" s="17">
        <v>27</v>
      </c>
      <c r="O144" s="15" t="s">
        <v>478</v>
      </c>
      <c r="P144" s="15" t="str">
        <f t="shared" si="28"/>
        <v>Academic &amp; Admissions</v>
      </c>
      <c r="Q144" s="15" t="str">
        <f t="shared" si="29"/>
        <v>Student Experience &amp; Campus</v>
      </c>
      <c r="R144" s="15" t="str">
        <f t="shared" si="30"/>
        <v>Engagement/Relationship</v>
      </c>
      <c r="S144" s="15" t="str">
        <f t="shared" si="31"/>
        <v>OK</v>
      </c>
      <c r="T144" s="15" t="str">
        <f t="shared" si="32"/>
        <v>OK</v>
      </c>
      <c r="U144" s="15" t="str">
        <f t="shared" si="33"/>
        <v>OK</v>
      </c>
      <c r="V144" s="15" t="str">
        <f t="shared" si="34"/>
        <v>OK</v>
      </c>
    </row>
    <row r="145" spans="1:22" ht="72" x14ac:dyDescent="0.3">
      <c r="A145" s="15" t="s">
        <v>479</v>
      </c>
      <c r="B145" s="15" t="s">
        <v>374</v>
      </c>
      <c r="C145" s="16">
        <v>45631</v>
      </c>
      <c r="D145" s="15" t="str">
        <f>IF(C145="","",TEXT(C145,"mmmm"))</f>
        <v>December</v>
      </c>
      <c r="E145" s="15">
        <f>IF(C145="","",YEAR(C145))</f>
        <v>2024</v>
      </c>
      <c r="F145" s="15" t="s">
        <v>480</v>
      </c>
      <c r="G145" s="15" t="s">
        <v>26</v>
      </c>
      <c r="H145" s="15" t="s">
        <v>19</v>
      </c>
      <c r="I145" s="15" t="s">
        <v>120</v>
      </c>
      <c r="J145" s="15" t="s">
        <v>28</v>
      </c>
      <c r="K145" s="15" t="s">
        <v>93</v>
      </c>
      <c r="L145" s="15" t="s">
        <v>56</v>
      </c>
      <c r="M145" s="17">
        <v>1105</v>
      </c>
      <c r="N145" s="17">
        <v>15</v>
      </c>
      <c r="O145" s="15" t="s">
        <v>481</v>
      </c>
      <c r="P145" s="15" t="str">
        <f t="shared" si="28"/>
        <v>Academic &amp; Admissions</v>
      </c>
      <c r="Q145" s="15" t="str">
        <f t="shared" si="29"/>
        <v>Academic &amp; Admissions</v>
      </c>
      <c r="R145" s="15" t="str">
        <f t="shared" si="30"/>
        <v>Informational</v>
      </c>
      <c r="S145" s="15" t="str">
        <f t="shared" si="31"/>
        <v>OK</v>
      </c>
      <c r="T145" s="15" t="str">
        <f t="shared" si="32"/>
        <v>OK</v>
      </c>
      <c r="U145" s="15" t="str">
        <f t="shared" si="33"/>
        <v>OK</v>
      </c>
      <c r="V145" s="15" t="str">
        <f t="shared" si="34"/>
        <v>OK</v>
      </c>
    </row>
    <row r="146" spans="1:22" ht="57.6" x14ac:dyDescent="0.3">
      <c r="A146" s="15" t="s">
        <v>482</v>
      </c>
      <c r="B146" s="15" t="s">
        <v>483</v>
      </c>
      <c r="C146" s="16">
        <v>45666</v>
      </c>
      <c r="D146" s="15" t="str">
        <f>IF(C146="","",TEXT(C146,"mmmm"))</f>
        <v>January</v>
      </c>
      <c r="E146" s="15">
        <f>IF(C146="","",YEAR(C146))</f>
        <v>2025</v>
      </c>
      <c r="F146" s="15" t="s">
        <v>484</v>
      </c>
      <c r="G146" s="15" t="s">
        <v>47</v>
      </c>
      <c r="H146" s="15" t="s">
        <v>19</v>
      </c>
      <c r="I146" s="15" t="s">
        <v>70</v>
      </c>
      <c r="J146" s="15" t="s">
        <v>21</v>
      </c>
      <c r="K146" s="15" t="s">
        <v>22</v>
      </c>
      <c r="L146" s="15" t="s">
        <v>56</v>
      </c>
      <c r="M146" s="17">
        <v>2514</v>
      </c>
      <c r="N146" s="17">
        <v>9</v>
      </c>
      <c r="O146" s="15" t="s">
        <v>485</v>
      </c>
      <c r="P146" s="15" t="str">
        <f t="shared" si="28"/>
        <v>Student Experience &amp; Campus</v>
      </c>
      <c r="Q146" s="15" t="str">
        <f t="shared" si="29"/>
        <v>Student Experience &amp; Campus</v>
      </c>
      <c r="R146" s="15" t="str">
        <f t="shared" si="30"/>
        <v>Engagement/Relationship</v>
      </c>
      <c r="S146" s="15" t="str">
        <f t="shared" si="31"/>
        <v>OK</v>
      </c>
      <c r="T146" s="15" t="str">
        <f t="shared" si="32"/>
        <v>OK</v>
      </c>
      <c r="U146" s="15" t="str">
        <f t="shared" si="33"/>
        <v>OK</v>
      </c>
      <c r="V146" s="15" t="str">
        <f t="shared" si="34"/>
        <v>OK</v>
      </c>
    </row>
    <row r="147" spans="1:22" ht="100.8" x14ac:dyDescent="0.3">
      <c r="A147" s="15" t="s">
        <v>486</v>
      </c>
      <c r="B147" s="15" t="s">
        <v>483</v>
      </c>
      <c r="C147" s="16">
        <v>45686</v>
      </c>
      <c r="D147" s="15" t="s">
        <v>599</v>
      </c>
      <c r="E147" s="15">
        <v>2025</v>
      </c>
      <c r="F147" s="15" t="s">
        <v>487</v>
      </c>
      <c r="G147" s="15" t="s">
        <v>47</v>
      </c>
      <c r="H147" s="15" t="s">
        <v>19</v>
      </c>
      <c r="I147" s="15" t="s">
        <v>39</v>
      </c>
      <c r="J147" s="15" t="s">
        <v>20</v>
      </c>
      <c r="K147" s="15" t="s">
        <v>29</v>
      </c>
      <c r="L147" s="15" t="s">
        <v>19</v>
      </c>
      <c r="M147" s="17">
        <v>700</v>
      </c>
      <c r="N147" s="17">
        <v>11</v>
      </c>
      <c r="O147" s="15" t="s">
        <v>488</v>
      </c>
      <c r="P147" s="15" t="str">
        <f t="shared" si="28"/>
        <v>Research &amp; Innovation</v>
      </c>
      <c r="Q147" s="15" t="str">
        <f t="shared" si="29"/>
        <v>Student Experience &amp; Campus</v>
      </c>
      <c r="R147" s="15" t="str">
        <f t="shared" si="30"/>
        <v>Reputation-focused</v>
      </c>
      <c r="S147" s="15" t="str">
        <f t="shared" si="31"/>
        <v>OK</v>
      </c>
      <c r="T147" s="15" t="str">
        <f t="shared" si="32"/>
        <v>OK</v>
      </c>
      <c r="U147" s="15" t="str">
        <f t="shared" si="33"/>
        <v>OK</v>
      </c>
      <c r="V147" s="15" t="str">
        <f t="shared" si="34"/>
        <v>OK</v>
      </c>
    </row>
    <row r="148" spans="1:22" ht="57.6" x14ac:dyDescent="0.3">
      <c r="A148" s="15" t="s">
        <v>489</v>
      </c>
      <c r="B148" s="15" t="s">
        <v>483</v>
      </c>
      <c r="C148" s="16">
        <v>45688</v>
      </c>
      <c r="D148" s="15" t="s">
        <v>599</v>
      </c>
      <c r="E148" s="15">
        <v>2025</v>
      </c>
      <c r="F148" s="15" t="s">
        <v>490</v>
      </c>
      <c r="G148" s="15" t="s">
        <v>18</v>
      </c>
      <c r="H148" s="15" t="s">
        <v>19</v>
      </c>
      <c r="I148" s="15" t="s">
        <v>20</v>
      </c>
      <c r="J148" s="15" t="s">
        <v>39</v>
      </c>
      <c r="K148" s="15" t="s">
        <v>43</v>
      </c>
      <c r="L148" s="15" t="s">
        <v>19</v>
      </c>
      <c r="M148" s="17">
        <v>510</v>
      </c>
      <c r="N148" s="17">
        <v>3</v>
      </c>
      <c r="O148" s="15" t="s">
        <v>491</v>
      </c>
      <c r="P148" s="15" t="str">
        <f t="shared" si="28"/>
        <v>Student Experience &amp; Campus</v>
      </c>
      <c r="Q148" s="15" t="str">
        <f t="shared" si="29"/>
        <v>Research &amp; Innovation</v>
      </c>
      <c r="R148" s="15" t="str">
        <f t="shared" si="30"/>
        <v>Engagement/Relationship</v>
      </c>
      <c r="S148" s="15" t="str">
        <f t="shared" si="31"/>
        <v>OK</v>
      </c>
      <c r="T148" s="15" t="str">
        <f t="shared" si="32"/>
        <v>OK</v>
      </c>
      <c r="U148" s="15" t="str">
        <f t="shared" si="33"/>
        <v>OK</v>
      </c>
      <c r="V148" s="15" t="str">
        <f t="shared" si="34"/>
        <v>OK</v>
      </c>
    </row>
    <row r="149" spans="1:22" ht="72" x14ac:dyDescent="0.3">
      <c r="A149" s="15" t="s">
        <v>492</v>
      </c>
      <c r="B149" s="15" t="s">
        <v>483</v>
      </c>
      <c r="C149" s="16">
        <v>45692</v>
      </c>
      <c r="D149" s="15" t="s">
        <v>600</v>
      </c>
      <c r="E149" s="15">
        <v>2025</v>
      </c>
      <c r="F149" s="15" t="s">
        <v>493</v>
      </c>
      <c r="G149" s="15" t="s">
        <v>18</v>
      </c>
      <c r="H149" s="15" t="s">
        <v>19</v>
      </c>
      <c r="I149" s="15" t="s">
        <v>20</v>
      </c>
      <c r="J149" s="15" t="s">
        <v>39</v>
      </c>
      <c r="K149" s="15" t="s">
        <v>66</v>
      </c>
      <c r="L149" s="15" t="s">
        <v>19</v>
      </c>
      <c r="M149" s="17">
        <v>242</v>
      </c>
      <c r="N149" s="17">
        <v>1</v>
      </c>
      <c r="O149" s="15" t="s">
        <v>494</v>
      </c>
      <c r="P149" s="15" t="str">
        <f t="shared" si="28"/>
        <v>Student Experience &amp; Campus</v>
      </c>
      <c r="Q149" s="15" t="str">
        <f t="shared" si="29"/>
        <v>Research &amp; Innovation</v>
      </c>
      <c r="R149" s="15" t="str">
        <f t="shared" si="30"/>
        <v>Promotional/Conversion</v>
      </c>
      <c r="S149" s="15" t="str">
        <f t="shared" si="31"/>
        <v>OK</v>
      </c>
      <c r="T149" s="15" t="str">
        <f t="shared" si="32"/>
        <v>OK</v>
      </c>
      <c r="U149" s="15" t="str">
        <f t="shared" si="33"/>
        <v>OK</v>
      </c>
      <c r="V149" s="15" t="str">
        <f t="shared" si="34"/>
        <v>OK</v>
      </c>
    </row>
    <row r="150" spans="1:22" ht="72" x14ac:dyDescent="0.3">
      <c r="A150" s="15" t="s">
        <v>495</v>
      </c>
      <c r="B150" s="15" t="s">
        <v>483</v>
      </c>
      <c r="C150" s="16">
        <v>45706</v>
      </c>
      <c r="D150" s="15" t="s">
        <v>600</v>
      </c>
      <c r="E150" s="15">
        <v>2025</v>
      </c>
      <c r="F150" s="15" t="s">
        <v>496</v>
      </c>
      <c r="G150" s="15" t="s">
        <v>47</v>
      </c>
      <c r="H150" s="15" t="s">
        <v>19</v>
      </c>
      <c r="I150" s="15" t="s">
        <v>27</v>
      </c>
      <c r="J150" s="15" t="s">
        <v>21</v>
      </c>
      <c r="K150" s="15" t="s">
        <v>29</v>
      </c>
      <c r="L150" s="15" t="s">
        <v>19</v>
      </c>
      <c r="M150" s="17">
        <v>3268</v>
      </c>
      <c r="N150" s="17">
        <v>23</v>
      </c>
      <c r="O150" s="15" t="s">
        <v>497</v>
      </c>
      <c r="P150" s="15" t="str">
        <f t="shared" si="28"/>
        <v>Institutional Reputation</v>
      </c>
      <c r="Q150" s="15" t="str">
        <f t="shared" si="29"/>
        <v>Student Experience &amp; Campus</v>
      </c>
      <c r="R150" s="15" t="str">
        <f t="shared" si="30"/>
        <v>Reputation-focused</v>
      </c>
      <c r="S150" s="15" t="str">
        <f t="shared" si="31"/>
        <v>OK</v>
      </c>
      <c r="T150" s="15" t="str">
        <f t="shared" si="32"/>
        <v>OK</v>
      </c>
      <c r="U150" s="15" t="str">
        <f t="shared" si="33"/>
        <v>OK</v>
      </c>
      <c r="V150" s="15" t="str">
        <f t="shared" si="34"/>
        <v>OK</v>
      </c>
    </row>
    <row r="151" spans="1:22" ht="100.8" x14ac:dyDescent="0.3">
      <c r="A151" s="15" t="s">
        <v>498</v>
      </c>
      <c r="B151" s="15" t="s">
        <v>483</v>
      </c>
      <c r="C151" s="16">
        <v>45710</v>
      </c>
      <c r="D151" s="15" t="s">
        <v>600</v>
      </c>
      <c r="E151" s="15">
        <v>2025</v>
      </c>
      <c r="F151" s="15" t="s">
        <v>499</v>
      </c>
      <c r="G151" s="15" t="s">
        <v>26</v>
      </c>
      <c r="H151" s="15" t="s">
        <v>19</v>
      </c>
      <c r="I151" s="15" t="s">
        <v>20</v>
      </c>
      <c r="J151" s="15" t="s">
        <v>101</v>
      </c>
      <c r="K151" s="15" t="s">
        <v>22</v>
      </c>
      <c r="L151" s="15" t="s">
        <v>19</v>
      </c>
      <c r="M151" s="17">
        <v>1037</v>
      </c>
      <c r="N151" s="17">
        <v>8</v>
      </c>
      <c r="O151" s="15" t="s">
        <v>500</v>
      </c>
      <c r="P151" s="15" t="str">
        <f t="shared" si="28"/>
        <v>Student Experience &amp; Campus</v>
      </c>
      <c r="Q151" s="15" t="str">
        <f t="shared" si="29"/>
        <v>Career &amp; Alumni</v>
      </c>
      <c r="R151" s="15" t="str">
        <f t="shared" si="30"/>
        <v>Engagement/Relationship</v>
      </c>
      <c r="S151" s="15" t="str">
        <f t="shared" si="31"/>
        <v>OK</v>
      </c>
      <c r="T151" s="15" t="str">
        <f t="shared" si="32"/>
        <v>OK</v>
      </c>
      <c r="U151" s="15" t="str">
        <f t="shared" si="33"/>
        <v>OK</v>
      </c>
      <c r="V151" s="15" t="str">
        <f t="shared" si="34"/>
        <v>OK</v>
      </c>
    </row>
    <row r="152" spans="1:22" ht="57.6" x14ac:dyDescent="0.3">
      <c r="A152" s="15" t="s">
        <v>501</v>
      </c>
      <c r="B152" s="15" t="s">
        <v>483</v>
      </c>
      <c r="C152" s="16">
        <v>45722</v>
      </c>
      <c r="D152" s="15" t="s">
        <v>601</v>
      </c>
      <c r="E152" s="15">
        <v>2025</v>
      </c>
      <c r="F152" s="15" t="s">
        <v>502</v>
      </c>
      <c r="G152" s="15" t="s">
        <v>47</v>
      </c>
      <c r="H152" s="15" t="s">
        <v>19</v>
      </c>
      <c r="I152" s="15" t="s">
        <v>39</v>
      </c>
      <c r="J152" s="15" t="s">
        <v>28</v>
      </c>
      <c r="K152" s="15" t="s">
        <v>66</v>
      </c>
      <c r="L152" s="15" t="s">
        <v>19</v>
      </c>
      <c r="M152" s="17">
        <v>544</v>
      </c>
      <c r="N152" s="17">
        <v>4</v>
      </c>
      <c r="O152" s="15" t="s">
        <v>503</v>
      </c>
      <c r="P152" s="15" t="str">
        <f t="shared" si="28"/>
        <v>Research &amp; Innovation</v>
      </c>
      <c r="Q152" s="15" t="str">
        <f t="shared" si="29"/>
        <v>Academic &amp; Admissions</v>
      </c>
      <c r="R152" s="15" t="str">
        <f t="shared" si="30"/>
        <v>Promotional/Conversion</v>
      </c>
      <c r="S152" s="15" t="str">
        <f t="shared" si="31"/>
        <v>OK</v>
      </c>
      <c r="T152" s="15" t="str">
        <f t="shared" si="32"/>
        <v>OK</v>
      </c>
      <c r="U152" s="15" t="str">
        <f t="shared" si="33"/>
        <v>OK</v>
      </c>
      <c r="V152" s="15" t="str">
        <f t="shared" si="34"/>
        <v>OK</v>
      </c>
    </row>
    <row r="153" spans="1:22" ht="72" x14ac:dyDescent="0.3">
      <c r="A153" s="15" t="s">
        <v>504</v>
      </c>
      <c r="B153" s="15" t="s">
        <v>483</v>
      </c>
      <c r="C153" s="16">
        <v>45728</v>
      </c>
      <c r="D153" s="15" t="s">
        <v>601</v>
      </c>
      <c r="E153" s="15">
        <v>2025</v>
      </c>
      <c r="F153" s="15" t="s">
        <v>505</v>
      </c>
      <c r="G153" s="15" t="s">
        <v>26</v>
      </c>
      <c r="H153" s="15" t="s">
        <v>19</v>
      </c>
      <c r="I153" s="15" t="s">
        <v>27</v>
      </c>
      <c r="J153" s="15" t="s">
        <v>28</v>
      </c>
      <c r="K153" s="15" t="s">
        <v>29</v>
      </c>
      <c r="L153" s="15" t="s">
        <v>19</v>
      </c>
      <c r="M153" s="17">
        <v>2396</v>
      </c>
      <c r="N153" s="17">
        <v>16</v>
      </c>
      <c r="O153" s="15" t="s">
        <v>506</v>
      </c>
      <c r="P153" s="15" t="str">
        <f t="shared" si="28"/>
        <v>Institutional Reputation</v>
      </c>
      <c r="Q153" s="15" t="str">
        <f t="shared" si="29"/>
        <v>Academic &amp; Admissions</v>
      </c>
      <c r="R153" s="15" t="str">
        <f t="shared" si="30"/>
        <v>Reputation-focused</v>
      </c>
      <c r="S153" s="15" t="str">
        <f t="shared" si="31"/>
        <v>OK</v>
      </c>
      <c r="T153" s="15" t="str">
        <f t="shared" si="32"/>
        <v>OK</v>
      </c>
      <c r="U153" s="15" t="str">
        <f t="shared" si="33"/>
        <v>OK</v>
      </c>
      <c r="V153" s="15" t="str">
        <f t="shared" si="34"/>
        <v>OK</v>
      </c>
    </row>
    <row r="154" spans="1:22" ht="100.8" x14ac:dyDescent="0.3">
      <c r="A154" s="15" t="s">
        <v>507</v>
      </c>
      <c r="B154" s="15" t="s">
        <v>483</v>
      </c>
      <c r="C154" s="16">
        <v>45745</v>
      </c>
      <c r="D154" s="15" t="s">
        <v>601</v>
      </c>
      <c r="E154" s="15">
        <v>2025</v>
      </c>
      <c r="F154" s="15" t="s">
        <v>508</v>
      </c>
      <c r="G154" s="15" t="s">
        <v>26</v>
      </c>
      <c r="H154" s="15" t="s">
        <v>19</v>
      </c>
      <c r="I154" s="15" t="s">
        <v>20</v>
      </c>
      <c r="J154" s="15" t="s">
        <v>21</v>
      </c>
      <c r="K154" s="15" t="s">
        <v>43</v>
      </c>
      <c r="L154" s="15" t="s">
        <v>19</v>
      </c>
      <c r="M154" s="17">
        <v>361</v>
      </c>
      <c r="N154" s="17">
        <v>4</v>
      </c>
      <c r="O154" s="15" t="s">
        <v>509</v>
      </c>
      <c r="P154" s="15" t="str">
        <f t="shared" si="28"/>
        <v>Student Experience &amp; Campus</v>
      </c>
      <c r="Q154" s="15" t="str">
        <f t="shared" si="29"/>
        <v>Student Experience &amp; Campus</v>
      </c>
      <c r="R154" s="15" t="str">
        <f t="shared" si="30"/>
        <v>Engagement/Relationship</v>
      </c>
      <c r="S154" s="15" t="str">
        <f t="shared" si="31"/>
        <v>OK</v>
      </c>
      <c r="T154" s="15" t="str">
        <f t="shared" si="32"/>
        <v>OK</v>
      </c>
      <c r="U154" s="15" t="str">
        <f t="shared" si="33"/>
        <v>OK</v>
      </c>
      <c r="V154" s="15" t="str">
        <f t="shared" si="34"/>
        <v>OK</v>
      </c>
    </row>
    <row r="155" spans="1:22" ht="115.2" x14ac:dyDescent="0.3">
      <c r="A155" s="15" t="s">
        <v>510</v>
      </c>
      <c r="B155" s="15" t="s">
        <v>483</v>
      </c>
      <c r="C155" s="16">
        <v>45750</v>
      </c>
      <c r="D155" s="15" t="s">
        <v>602</v>
      </c>
      <c r="E155" s="15">
        <v>2025</v>
      </c>
      <c r="F155" s="15" t="s">
        <v>511</v>
      </c>
      <c r="G155" s="15" t="s">
        <v>18</v>
      </c>
      <c r="H155" s="15" t="s">
        <v>19</v>
      </c>
      <c r="I155" s="15" t="s">
        <v>28</v>
      </c>
      <c r="J155" s="15" t="s">
        <v>60</v>
      </c>
      <c r="K155" s="15" t="s">
        <v>62</v>
      </c>
      <c r="L155" s="15" t="s">
        <v>19</v>
      </c>
      <c r="M155" s="17">
        <v>240</v>
      </c>
      <c r="N155" s="17">
        <v>3</v>
      </c>
      <c r="O155" s="15" t="s">
        <v>512</v>
      </c>
      <c r="P155" s="15" t="str">
        <f t="shared" si="28"/>
        <v>Academic &amp; Admissions</v>
      </c>
      <c r="Q155" s="15" t="str">
        <f t="shared" si="29"/>
        <v>Academic &amp; Admissions</v>
      </c>
      <c r="R155" s="15" t="str">
        <f t="shared" si="30"/>
        <v>Promotional/Conversion</v>
      </c>
      <c r="S155" s="15" t="str">
        <f t="shared" si="31"/>
        <v>OK</v>
      </c>
      <c r="T155" s="15" t="str">
        <f t="shared" si="32"/>
        <v>OK</v>
      </c>
      <c r="U155" s="15" t="str">
        <f t="shared" si="33"/>
        <v>OK</v>
      </c>
      <c r="V155" s="15" t="str">
        <f t="shared" si="34"/>
        <v>OK</v>
      </c>
    </row>
    <row r="156" spans="1:22" ht="86.4" x14ac:dyDescent="0.3">
      <c r="A156" s="15" t="s">
        <v>513</v>
      </c>
      <c r="B156" s="15" t="s">
        <v>483</v>
      </c>
      <c r="C156" s="16">
        <v>45757</v>
      </c>
      <c r="D156" s="15" t="s">
        <v>602</v>
      </c>
      <c r="E156" s="15">
        <v>2025</v>
      </c>
      <c r="F156" s="15" t="s">
        <v>514</v>
      </c>
      <c r="G156" s="15" t="s">
        <v>47</v>
      </c>
      <c r="H156" s="15" t="s">
        <v>19</v>
      </c>
      <c r="I156" s="15" t="s">
        <v>34</v>
      </c>
      <c r="J156" s="15" t="s">
        <v>39</v>
      </c>
      <c r="K156" s="15" t="s">
        <v>29</v>
      </c>
      <c r="L156" s="15" t="s">
        <v>19</v>
      </c>
      <c r="M156" s="17">
        <v>803</v>
      </c>
      <c r="N156" s="17">
        <v>2</v>
      </c>
      <c r="O156" s="15" t="s">
        <v>515</v>
      </c>
      <c r="P156" s="15" t="str">
        <f t="shared" si="28"/>
        <v>Student Experience &amp; Campus</v>
      </c>
      <c r="Q156" s="15" t="str">
        <f t="shared" si="29"/>
        <v>Research &amp; Innovation</v>
      </c>
      <c r="R156" s="15" t="str">
        <f t="shared" si="30"/>
        <v>Reputation-focused</v>
      </c>
      <c r="S156" s="15" t="str">
        <f t="shared" si="31"/>
        <v>OK</v>
      </c>
      <c r="T156" s="15" t="str">
        <f t="shared" si="32"/>
        <v>OK</v>
      </c>
      <c r="U156" s="15" t="str">
        <f t="shared" si="33"/>
        <v>OK</v>
      </c>
      <c r="V156" s="15" t="str">
        <f t="shared" si="34"/>
        <v>OK</v>
      </c>
    </row>
    <row r="157" spans="1:22" ht="100.8" x14ac:dyDescent="0.3">
      <c r="A157" s="15" t="s">
        <v>516</v>
      </c>
      <c r="B157" s="15" t="s">
        <v>483</v>
      </c>
      <c r="C157" s="16">
        <v>45770</v>
      </c>
      <c r="D157" s="15" t="s">
        <v>602</v>
      </c>
      <c r="E157" s="15">
        <v>2025</v>
      </c>
      <c r="F157" s="15" t="s">
        <v>517</v>
      </c>
      <c r="G157" s="15" t="s">
        <v>26</v>
      </c>
      <c r="H157" s="15" t="s">
        <v>19</v>
      </c>
      <c r="I157" s="15" t="s">
        <v>20</v>
      </c>
      <c r="J157" s="15" t="s">
        <v>28</v>
      </c>
      <c r="K157" s="15" t="s">
        <v>22</v>
      </c>
      <c r="L157" s="15" t="s">
        <v>19</v>
      </c>
      <c r="M157" s="17">
        <v>646</v>
      </c>
      <c r="N157" s="17">
        <v>1</v>
      </c>
      <c r="O157" s="15" t="s">
        <v>518</v>
      </c>
      <c r="P157" s="15" t="str">
        <f t="shared" si="28"/>
        <v>Student Experience &amp; Campus</v>
      </c>
      <c r="Q157" s="15" t="str">
        <f t="shared" si="29"/>
        <v>Academic &amp; Admissions</v>
      </c>
      <c r="R157" s="15" t="str">
        <f t="shared" si="30"/>
        <v>Engagement/Relationship</v>
      </c>
      <c r="S157" s="15" t="str">
        <f t="shared" si="31"/>
        <v>OK</v>
      </c>
      <c r="T157" s="15" t="str">
        <f t="shared" si="32"/>
        <v>OK</v>
      </c>
      <c r="U157" s="15" t="str">
        <f t="shared" si="33"/>
        <v>OK</v>
      </c>
      <c r="V157" s="15" t="str">
        <f t="shared" si="34"/>
        <v>OK</v>
      </c>
    </row>
    <row r="158" spans="1:22" ht="86.4" x14ac:dyDescent="0.3">
      <c r="A158" s="15" t="s">
        <v>519</v>
      </c>
      <c r="B158" s="15" t="s">
        <v>483</v>
      </c>
      <c r="C158" s="16">
        <v>45782</v>
      </c>
      <c r="D158" s="15" t="s">
        <v>603</v>
      </c>
      <c r="E158" s="15">
        <v>2025</v>
      </c>
      <c r="F158" s="15" t="s">
        <v>520</v>
      </c>
      <c r="G158" s="15" t="s">
        <v>18</v>
      </c>
      <c r="H158" s="15" t="s">
        <v>19</v>
      </c>
      <c r="I158" s="15" t="s">
        <v>20</v>
      </c>
      <c r="J158" s="15" t="s">
        <v>28</v>
      </c>
      <c r="K158" s="15" t="s">
        <v>66</v>
      </c>
      <c r="L158" s="15" t="s">
        <v>19</v>
      </c>
      <c r="M158" s="17">
        <v>353</v>
      </c>
      <c r="N158" s="17">
        <v>6</v>
      </c>
      <c r="O158" s="15" t="s">
        <v>521</v>
      </c>
      <c r="P158" s="15" t="str">
        <f t="shared" si="28"/>
        <v>Student Experience &amp; Campus</v>
      </c>
      <c r="Q158" s="15" t="str">
        <f t="shared" si="29"/>
        <v>Academic &amp; Admissions</v>
      </c>
      <c r="R158" s="15" t="str">
        <f t="shared" si="30"/>
        <v>Promotional/Conversion</v>
      </c>
      <c r="S158" s="15" t="str">
        <f t="shared" si="31"/>
        <v>OK</v>
      </c>
      <c r="T158" s="15" t="str">
        <f t="shared" si="32"/>
        <v>OK</v>
      </c>
      <c r="U158" s="15" t="str">
        <f t="shared" si="33"/>
        <v>OK</v>
      </c>
      <c r="V158" s="15" t="str">
        <f t="shared" si="34"/>
        <v>OK</v>
      </c>
    </row>
    <row r="159" spans="1:22" ht="86.4" x14ac:dyDescent="0.3">
      <c r="A159" s="15" t="s">
        <v>522</v>
      </c>
      <c r="B159" s="15" t="s">
        <v>483</v>
      </c>
      <c r="C159" s="16">
        <v>45790</v>
      </c>
      <c r="D159" s="15" t="s">
        <v>603</v>
      </c>
      <c r="E159" s="15">
        <v>2025</v>
      </c>
      <c r="F159" s="15" t="s">
        <v>523</v>
      </c>
      <c r="G159" s="15" t="s">
        <v>18</v>
      </c>
      <c r="H159" s="15" t="s">
        <v>19</v>
      </c>
      <c r="I159" s="15" t="s">
        <v>28</v>
      </c>
      <c r="J159" s="15" t="s">
        <v>21</v>
      </c>
      <c r="K159" s="15" t="s">
        <v>66</v>
      </c>
      <c r="L159" s="15" t="s">
        <v>19</v>
      </c>
      <c r="M159" s="17">
        <v>119</v>
      </c>
      <c r="N159" s="17">
        <v>3</v>
      </c>
      <c r="O159" s="15" t="s">
        <v>524</v>
      </c>
      <c r="P159" s="15" t="str">
        <f t="shared" si="28"/>
        <v>Academic &amp; Admissions</v>
      </c>
      <c r="Q159" s="15" t="str">
        <f t="shared" si="29"/>
        <v>Student Experience &amp; Campus</v>
      </c>
      <c r="R159" s="15" t="str">
        <f t="shared" si="30"/>
        <v>Promotional/Conversion</v>
      </c>
      <c r="S159" s="15" t="str">
        <f t="shared" si="31"/>
        <v>OK</v>
      </c>
      <c r="T159" s="15" t="str">
        <f t="shared" si="32"/>
        <v>OK</v>
      </c>
      <c r="U159" s="15" t="str">
        <f t="shared" si="33"/>
        <v>OK</v>
      </c>
      <c r="V159" s="15" t="str">
        <f t="shared" si="34"/>
        <v>OK</v>
      </c>
    </row>
    <row r="160" spans="1:22" ht="115.2" x14ac:dyDescent="0.3">
      <c r="A160" s="15" t="s">
        <v>525</v>
      </c>
      <c r="B160" s="15" t="s">
        <v>483</v>
      </c>
      <c r="C160" s="16">
        <v>45800</v>
      </c>
      <c r="D160" s="15" t="s">
        <v>603</v>
      </c>
      <c r="E160" s="15">
        <v>2025</v>
      </c>
      <c r="F160" s="15" t="s">
        <v>526</v>
      </c>
      <c r="G160" s="15" t="s">
        <v>18</v>
      </c>
      <c r="H160" s="15" t="s">
        <v>19</v>
      </c>
      <c r="I160" s="15" t="s">
        <v>28</v>
      </c>
      <c r="J160" s="15" t="s">
        <v>39</v>
      </c>
      <c r="K160" s="15" t="s">
        <v>29</v>
      </c>
      <c r="L160" s="15" t="s">
        <v>19</v>
      </c>
      <c r="M160" s="17">
        <v>189</v>
      </c>
      <c r="N160" s="17">
        <v>2</v>
      </c>
      <c r="O160" s="15" t="s">
        <v>527</v>
      </c>
      <c r="P160" s="15" t="str">
        <f t="shared" si="28"/>
        <v>Academic &amp; Admissions</v>
      </c>
      <c r="Q160" s="15" t="str">
        <f t="shared" si="29"/>
        <v>Research &amp; Innovation</v>
      </c>
      <c r="R160" s="15" t="str">
        <f t="shared" si="30"/>
        <v>Reputation-focused</v>
      </c>
      <c r="S160" s="15" t="str">
        <f t="shared" si="31"/>
        <v>OK</v>
      </c>
      <c r="T160" s="15" t="str">
        <f t="shared" si="32"/>
        <v>OK</v>
      </c>
      <c r="U160" s="15" t="str">
        <f t="shared" si="33"/>
        <v>OK</v>
      </c>
      <c r="V160" s="15" t="str">
        <f t="shared" si="34"/>
        <v>OK</v>
      </c>
    </row>
    <row r="161" spans="1:22" ht="115.2" x14ac:dyDescent="0.3">
      <c r="A161" s="15" t="s">
        <v>528</v>
      </c>
      <c r="B161" s="15" t="s">
        <v>483</v>
      </c>
      <c r="C161" s="16">
        <v>45813</v>
      </c>
      <c r="D161" s="15" t="s">
        <v>88</v>
      </c>
      <c r="E161" s="15">
        <v>2025</v>
      </c>
      <c r="F161" s="15" t="s">
        <v>529</v>
      </c>
      <c r="G161" s="15" t="s">
        <v>47</v>
      </c>
      <c r="H161" s="15" t="s">
        <v>19</v>
      </c>
      <c r="I161" s="15" t="s">
        <v>20</v>
      </c>
      <c r="J161" s="15" t="s">
        <v>162</v>
      </c>
      <c r="K161" s="15" t="s">
        <v>35</v>
      </c>
      <c r="L161" s="15" t="s">
        <v>19</v>
      </c>
      <c r="M161" s="17" t="s">
        <v>308</v>
      </c>
      <c r="N161" s="17" t="s">
        <v>308</v>
      </c>
      <c r="O161" s="15" t="s">
        <v>530</v>
      </c>
      <c r="P161" s="15" t="str">
        <f t="shared" si="28"/>
        <v>Student Experience &amp; Campus</v>
      </c>
      <c r="Q161" s="15" t="str">
        <f t="shared" si="29"/>
        <v>Student Experience &amp; Campus</v>
      </c>
      <c r="R161" s="15" t="str">
        <f t="shared" si="30"/>
        <v>Engagement/Relationship</v>
      </c>
      <c r="S161" s="15" t="str">
        <f t="shared" si="31"/>
        <v>OK</v>
      </c>
      <c r="T161" s="15" t="str">
        <f t="shared" si="32"/>
        <v>OK</v>
      </c>
      <c r="U161" s="15" t="str">
        <f t="shared" si="33"/>
        <v>OK</v>
      </c>
      <c r="V161" s="15" t="str">
        <f t="shared" si="34"/>
        <v>Likes/comments unavailable</v>
      </c>
    </row>
    <row r="162" spans="1:22" ht="57.6" x14ac:dyDescent="0.3">
      <c r="A162" s="15" t="s">
        <v>531</v>
      </c>
      <c r="B162" s="15" t="s">
        <v>483</v>
      </c>
      <c r="C162" s="16">
        <v>45818</v>
      </c>
      <c r="D162" s="15" t="s">
        <v>88</v>
      </c>
      <c r="E162" s="15">
        <v>2025</v>
      </c>
      <c r="F162" s="15" t="s">
        <v>532</v>
      </c>
      <c r="G162" s="15" t="s">
        <v>18</v>
      </c>
      <c r="H162" s="15" t="s">
        <v>19</v>
      </c>
      <c r="I162" s="15" t="s">
        <v>20</v>
      </c>
      <c r="J162" s="15" t="s">
        <v>34</v>
      </c>
      <c r="K162" s="15" t="s">
        <v>35</v>
      </c>
      <c r="L162" s="15" t="s">
        <v>56</v>
      </c>
      <c r="M162" s="17">
        <v>683</v>
      </c>
      <c r="N162" s="17">
        <v>14</v>
      </c>
      <c r="O162" s="15" t="s">
        <v>533</v>
      </c>
      <c r="P162" s="15" t="str">
        <f t="shared" ref="P162:P181" si="35">IF(OR(I162="Student Experience",I162="Campus Life",I162="Campus Facilities",I162="Student Clubs &amp; Organizations",I162="Events",I162="Student Support Services",I162="Diversity &amp; Inclusion",I162="International Students"),"Student Experience &amp; Campus",IF(OR(I162="Academic Programs",I162="Admissions",I162="Scholarships &amp; Financial Aid"),"Academic &amp; Admissions",IF(OR(I162="Career Opportunities",I162="Alumni Success"),"Career &amp; Alumni",IF(I162="Research &amp; Innovation","Research &amp; Innovation",IF(I162="Rankings &amp; Achievements","Institutional Reputation","Other")))))</f>
        <v>Student Experience &amp; Campus</v>
      </c>
      <c r="Q162" s="15" t="str">
        <f t="shared" ref="Q162:Q181" si="36">IF(OR(J162="Student Experience",J162="Campus Life",J162="Campus Facilities",J162="Student Clubs &amp; Organizations",J162="Events",J162="Student Support Services",J162="Diversity &amp; Inclusion",J162="International Students"),"Student Experience &amp; Campus",IF(OR(J162="Academic Programs",J162="Admissions",J162="Scholarships &amp; Financial Aid"),"Academic &amp; Admissions",IF(OR(J162="Career Opportunities",J162="Alumni Success"),"Career &amp; Alumni",IF(J162="Research &amp; Innovation","Research &amp; Innovation",IF(J162="Rankings &amp; Achievements","Institutional Reputation","Other")))))</f>
        <v>Student Experience &amp; Campus</v>
      </c>
      <c r="R162" s="15" t="str">
        <f t="shared" ref="R162:R181" si="37">IF(K162="Informational","Informational",IF(OR(K162="Promotional",K162="Call-to-Action"),"Promotional/Conversion",IF(K162="Reputation Building","Reputation-focused","Engagement/Relationship")))</f>
        <v>Engagement/Relationship</v>
      </c>
      <c r="S162" s="15" t="str">
        <f t="shared" ref="S162:S181" si="38">IF(COUNTIF($A$2:$A$181,A162)&gt;1,"Duplicate","OK")</f>
        <v>OK</v>
      </c>
      <c r="T162" s="15" t="str">
        <f t="shared" ref="T162:T181" si="39">IF(COUNTIF($F$2:$F$181,F162)&gt;1,"Duplicate","OK")</f>
        <v>OK</v>
      </c>
      <c r="U162" s="15" t="str">
        <f t="shared" ref="U162:U181" si="40">IF(AND(TEXT(C162,"mmmm")=D162,YEAR(C162)=E162),"OK","Mismatch")</f>
        <v>OK</v>
      </c>
      <c r="V162" s="15" t="str">
        <f t="shared" ref="V162:V181" si="41">IF(OR(M162="NA",N162="NA"),"Likes/comments unavailable",IF(I162=J162,"Primary and secondary themes identical","OK"))</f>
        <v>OK</v>
      </c>
    </row>
    <row r="163" spans="1:22" ht="86.4" x14ac:dyDescent="0.3">
      <c r="A163" s="15" t="s">
        <v>534</v>
      </c>
      <c r="B163" s="15" t="s">
        <v>483</v>
      </c>
      <c r="C163" s="16">
        <v>45829</v>
      </c>
      <c r="D163" s="15" t="s">
        <v>88</v>
      </c>
      <c r="E163" s="15">
        <v>2025</v>
      </c>
      <c r="F163" s="15" t="s">
        <v>535</v>
      </c>
      <c r="G163" s="15" t="s">
        <v>26</v>
      </c>
      <c r="H163" s="15" t="s">
        <v>19</v>
      </c>
      <c r="I163" s="15" t="s">
        <v>20</v>
      </c>
      <c r="J163" s="15" t="s">
        <v>101</v>
      </c>
      <c r="K163" s="15" t="s">
        <v>22</v>
      </c>
      <c r="L163" s="15" t="s">
        <v>19</v>
      </c>
      <c r="M163" s="17">
        <v>395</v>
      </c>
      <c r="N163" s="17">
        <v>4</v>
      </c>
      <c r="O163" s="15" t="s">
        <v>536</v>
      </c>
      <c r="P163" s="15" t="str">
        <f t="shared" si="35"/>
        <v>Student Experience &amp; Campus</v>
      </c>
      <c r="Q163" s="15" t="str">
        <f t="shared" si="36"/>
        <v>Career &amp; Alumni</v>
      </c>
      <c r="R163" s="15" t="str">
        <f t="shared" si="37"/>
        <v>Engagement/Relationship</v>
      </c>
      <c r="S163" s="15" t="str">
        <f t="shared" si="38"/>
        <v>OK</v>
      </c>
      <c r="T163" s="15" t="str">
        <f t="shared" si="39"/>
        <v>OK</v>
      </c>
      <c r="U163" s="15" t="str">
        <f t="shared" si="40"/>
        <v>OK</v>
      </c>
      <c r="V163" s="15" t="str">
        <f t="shared" si="41"/>
        <v>OK</v>
      </c>
    </row>
    <row r="164" spans="1:22" ht="72" x14ac:dyDescent="0.3">
      <c r="A164" s="15" t="s">
        <v>537</v>
      </c>
      <c r="B164" s="15" t="s">
        <v>483</v>
      </c>
      <c r="C164" s="16">
        <v>45840</v>
      </c>
      <c r="D164" s="15" t="s">
        <v>604</v>
      </c>
      <c r="E164" s="15">
        <v>2025</v>
      </c>
      <c r="F164" s="15" t="s">
        <v>538</v>
      </c>
      <c r="G164" s="15" t="s">
        <v>18</v>
      </c>
      <c r="H164" s="15" t="s">
        <v>19</v>
      </c>
      <c r="I164" s="15" t="s">
        <v>39</v>
      </c>
      <c r="J164" s="15" t="s">
        <v>28</v>
      </c>
      <c r="K164" s="15" t="s">
        <v>29</v>
      </c>
      <c r="L164" s="15" t="s">
        <v>19</v>
      </c>
      <c r="M164" s="17">
        <v>287</v>
      </c>
      <c r="N164" s="17">
        <v>4</v>
      </c>
      <c r="O164" s="15" t="s">
        <v>539</v>
      </c>
      <c r="P164" s="15" t="str">
        <f t="shared" si="35"/>
        <v>Research &amp; Innovation</v>
      </c>
      <c r="Q164" s="15" t="str">
        <f t="shared" si="36"/>
        <v>Academic &amp; Admissions</v>
      </c>
      <c r="R164" s="15" t="str">
        <f t="shared" si="37"/>
        <v>Reputation-focused</v>
      </c>
      <c r="S164" s="15" t="str">
        <f t="shared" si="38"/>
        <v>OK</v>
      </c>
      <c r="T164" s="15" t="str">
        <f t="shared" si="39"/>
        <v>OK</v>
      </c>
      <c r="U164" s="15" t="str">
        <f t="shared" si="40"/>
        <v>OK</v>
      </c>
      <c r="V164" s="15" t="str">
        <f t="shared" si="41"/>
        <v>OK</v>
      </c>
    </row>
    <row r="165" spans="1:22" ht="57.6" x14ac:dyDescent="0.3">
      <c r="A165" s="15" t="s">
        <v>540</v>
      </c>
      <c r="B165" s="15" t="s">
        <v>483</v>
      </c>
      <c r="C165" s="16">
        <v>45856</v>
      </c>
      <c r="D165" s="15" t="s">
        <v>604</v>
      </c>
      <c r="E165" s="15">
        <v>2025</v>
      </c>
      <c r="F165" s="15" t="s">
        <v>541</v>
      </c>
      <c r="G165" s="15" t="s">
        <v>47</v>
      </c>
      <c r="H165" s="15" t="s">
        <v>19</v>
      </c>
      <c r="I165" s="15" t="s">
        <v>70</v>
      </c>
      <c r="J165" s="15" t="s">
        <v>48</v>
      </c>
      <c r="K165" s="15" t="s">
        <v>22</v>
      </c>
      <c r="L165" s="15" t="s">
        <v>56</v>
      </c>
      <c r="M165" s="17">
        <v>3451</v>
      </c>
      <c r="N165" s="17">
        <v>26</v>
      </c>
      <c r="O165" s="15" t="s">
        <v>542</v>
      </c>
      <c r="P165" s="15" t="str">
        <f t="shared" si="35"/>
        <v>Student Experience &amp; Campus</v>
      </c>
      <c r="Q165" s="15" t="str">
        <f t="shared" si="36"/>
        <v>Student Experience &amp; Campus</v>
      </c>
      <c r="R165" s="15" t="str">
        <f t="shared" si="37"/>
        <v>Engagement/Relationship</v>
      </c>
      <c r="S165" s="15" t="str">
        <f t="shared" si="38"/>
        <v>OK</v>
      </c>
      <c r="T165" s="15" t="str">
        <f t="shared" si="39"/>
        <v>OK</v>
      </c>
      <c r="U165" s="15" t="str">
        <f t="shared" si="40"/>
        <v>OK</v>
      </c>
      <c r="V165" s="15" t="str">
        <f t="shared" si="41"/>
        <v>OK</v>
      </c>
    </row>
    <row r="166" spans="1:22" ht="57.6" x14ac:dyDescent="0.3">
      <c r="A166" s="15" t="s">
        <v>543</v>
      </c>
      <c r="B166" s="15" t="s">
        <v>483</v>
      </c>
      <c r="C166" s="16">
        <v>45864</v>
      </c>
      <c r="D166" s="15" t="s">
        <v>604</v>
      </c>
      <c r="E166" s="15">
        <v>2025</v>
      </c>
      <c r="F166" s="15" t="s">
        <v>544</v>
      </c>
      <c r="G166" s="15" t="s">
        <v>26</v>
      </c>
      <c r="H166" s="15" t="s">
        <v>19</v>
      </c>
      <c r="I166" s="15" t="s">
        <v>20</v>
      </c>
      <c r="J166" s="15" t="s">
        <v>39</v>
      </c>
      <c r="K166" s="15" t="s">
        <v>43</v>
      </c>
      <c r="L166" s="15" t="s">
        <v>19</v>
      </c>
      <c r="M166" s="17">
        <v>507</v>
      </c>
      <c r="N166" s="17">
        <v>6</v>
      </c>
      <c r="O166" s="15" t="s">
        <v>545</v>
      </c>
      <c r="P166" s="15" t="str">
        <f t="shared" si="35"/>
        <v>Student Experience &amp; Campus</v>
      </c>
      <c r="Q166" s="15" t="str">
        <f t="shared" si="36"/>
        <v>Research &amp; Innovation</v>
      </c>
      <c r="R166" s="15" t="str">
        <f t="shared" si="37"/>
        <v>Engagement/Relationship</v>
      </c>
      <c r="S166" s="15" t="str">
        <f t="shared" si="38"/>
        <v>OK</v>
      </c>
      <c r="T166" s="15" t="str">
        <f t="shared" si="39"/>
        <v>OK</v>
      </c>
      <c r="U166" s="15" t="str">
        <f t="shared" si="40"/>
        <v>OK</v>
      </c>
      <c r="V166" s="15" t="str">
        <f t="shared" si="41"/>
        <v>OK</v>
      </c>
    </row>
    <row r="167" spans="1:22" ht="57.6" x14ac:dyDescent="0.3">
      <c r="A167" s="15" t="s">
        <v>546</v>
      </c>
      <c r="B167" s="15" t="s">
        <v>483</v>
      </c>
      <c r="C167" s="16">
        <v>45884</v>
      </c>
      <c r="D167" s="15" t="s">
        <v>605</v>
      </c>
      <c r="E167" s="15">
        <v>2025</v>
      </c>
      <c r="F167" s="15" t="s">
        <v>547</v>
      </c>
      <c r="G167" s="15" t="s">
        <v>18</v>
      </c>
      <c r="H167" s="15" t="s">
        <v>19</v>
      </c>
      <c r="I167" s="15" t="s">
        <v>20</v>
      </c>
      <c r="J167" s="15" t="s">
        <v>101</v>
      </c>
      <c r="K167" s="15" t="s">
        <v>43</v>
      </c>
      <c r="L167" s="15" t="s">
        <v>19</v>
      </c>
      <c r="M167" s="17">
        <v>286</v>
      </c>
      <c r="N167" s="17">
        <v>5</v>
      </c>
      <c r="O167" s="15" t="s">
        <v>548</v>
      </c>
      <c r="P167" s="15" t="str">
        <f t="shared" si="35"/>
        <v>Student Experience &amp; Campus</v>
      </c>
      <c r="Q167" s="15" t="str">
        <f t="shared" si="36"/>
        <v>Career &amp; Alumni</v>
      </c>
      <c r="R167" s="15" t="str">
        <f t="shared" si="37"/>
        <v>Engagement/Relationship</v>
      </c>
      <c r="S167" s="15" t="str">
        <f t="shared" si="38"/>
        <v>OK</v>
      </c>
      <c r="T167" s="15" t="str">
        <f t="shared" si="39"/>
        <v>OK</v>
      </c>
      <c r="U167" s="15" t="str">
        <f t="shared" si="40"/>
        <v>OK</v>
      </c>
      <c r="V167" s="15" t="str">
        <f t="shared" si="41"/>
        <v>OK</v>
      </c>
    </row>
    <row r="168" spans="1:22" ht="115.2" x14ac:dyDescent="0.3">
      <c r="A168" s="15" t="s">
        <v>549</v>
      </c>
      <c r="B168" s="15" t="s">
        <v>483</v>
      </c>
      <c r="C168" s="16">
        <v>45888</v>
      </c>
      <c r="D168" s="15" t="s">
        <v>605</v>
      </c>
      <c r="E168" s="15">
        <v>2025</v>
      </c>
      <c r="F168" s="15" t="s">
        <v>550</v>
      </c>
      <c r="G168" s="15" t="s">
        <v>18</v>
      </c>
      <c r="H168" s="15" t="s">
        <v>19</v>
      </c>
      <c r="I168" s="15" t="s">
        <v>20</v>
      </c>
      <c r="J168" s="15" t="s">
        <v>21</v>
      </c>
      <c r="K168" s="15" t="s">
        <v>35</v>
      </c>
      <c r="L168" s="15" t="s">
        <v>19</v>
      </c>
      <c r="M168" s="17">
        <v>750</v>
      </c>
      <c r="N168" s="17">
        <v>3</v>
      </c>
      <c r="O168" s="15" t="s">
        <v>551</v>
      </c>
      <c r="P168" s="15" t="str">
        <f t="shared" si="35"/>
        <v>Student Experience &amp; Campus</v>
      </c>
      <c r="Q168" s="15" t="str">
        <f t="shared" si="36"/>
        <v>Student Experience &amp; Campus</v>
      </c>
      <c r="R168" s="15" t="str">
        <f t="shared" si="37"/>
        <v>Engagement/Relationship</v>
      </c>
      <c r="S168" s="15" t="str">
        <f t="shared" si="38"/>
        <v>OK</v>
      </c>
      <c r="T168" s="15" t="str">
        <f t="shared" si="39"/>
        <v>OK</v>
      </c>
      <c r="U168" s="15" t="str">
        <f t="shared" si="40"/>
        <v>OK</v>
      </c>
      <c r="V168" s="15" t="str">
        <f t="shared" si="41"/>
        <v>OK</v>
      </c>
    </row>
    <row r="169" spans="1:22" ht="57.6" x14ac:dyDescent="0.3">
      <c r="A169" s="15" t="s">
        <v>552</v>
      </c>
      <c r="B169" s="15" t="s">
        <v>483</v>
      </c>
      <c r="C169" s="16">
        <v>45894</v>
      </c>
      <c r="D169" s="15" t="s">
        <v>605</v>
      </c>
      <c r="E169" s="15">
        <v>2025</v>
      </c>
      <c r="F169" s="15" t="s">
        <v>553</v>
      </c>
      <c r="G169" s="15" t="s">
        <v>18</v>
      </c>
      <c r="H169" s="15" t="s">
        <v>19</v>
      </c>
      <c r="I169" s="15" t="s">
        <v>101</v>
      </c>
      <c r="J169" s="15" t="s">
        <v>120</v>
      </c>
      <c r="K169" s="15" t="s">
        <v>29</v>
      </c>
      <c r="L169" s="15" t="s">
        <v>19</v>
      </c>
      <c r="M169" s="17">
        <v>247</v>
      </c>
      <c r="N169" s="17">
        <v>4</v>
      </c>
      <c r="O169" s="15" t="s">
        <v>554</v>
      </c>
      <c r="P169" s="15" t="str">
        <f t="shared" si="35"/>
        <v>Career &amp; Alumni</v>
      </c>
      <c r="Q169" s="15" t="str">
        <f t="shared" si="36"/>
        <v>Academic &amp; Admissions</v>
      </c>
      <c r="R169" s="15" t="str">
        <f t="shared" si="37"/>
        <v>Reputation-focused</v>
      </c>
      <c r="S169" s="15" t="str">
        <f t="shared" si="38"/>
        <v>OK</v>
      </c>
      <c r="T169" s="15" t="str">
        <f t="shared" si="39"/>
        <v>OK</v>
      </c>
      <c r="U169" s="15" t="str">
        <f t="shared" si="40"/>
        <v>OK</v>
      </c>
      <c r="V169" s="15" t="str">
        <f t="shared" si="41"/>
        <v>OK</v>
      </c>
    </row>
    <row r="170" spans="1:22" ht="144" x14ac:dyDescent="0.3">
      <c r="A170" s="15" t="s">
        <v>555</v>
      </c>
      <c r="B170" s="15" t="s">
        <v>483</v>
      </c>
      <c r="C170" s="16">
        <v>45542</v>
      </c>
      <c r="D170" s="15" t="s">
        <v>606</v>
      </c>
      <c r="E170" s="15">
        <v>2024</v>
      </c>
      <c r="F170" s="15" t="s">
        <v>556</v>
      </c>
      <c r="G170" s="15" t="s">
        <v>26</v>
      </c>
      <c r="H170" s="15" t="s">
        <v>19</v>
      </c>
      <c r="I170" s="15" t="s">
        <v>20</v>
      </c>
      <c r="J170" s="15" t="s">
        <v>28</v>
      </c>
      <c r="K170" s="15" t="s">
        <v>43</v>
      </c>
      <c r="L170" s="15" t="s">
        <v>19</v>
      </c>
      <c r="M170" s="17" t="s">
        <v>308</v>
      </c>
      <c r="N170" s="17" t="s">
        <v>308</v>
      </c>
      <c r="O170" s="15" t="s">
        <v>557</v>
      </c>
      <c r="P170" s="15" t="str">
        <f t="shared" si="35"/>
        <v>Student Experience &amp; Campus</v>
      </c>
      <c r="Q170" s="15" t="str">
        <f t="shared" si="36"/>
        <v>Academic &amp; Admissions</v>
      </c>
      <c r="R170" s="15" t="str">
        <f t="shared" si="37"/>
        <v>Engagement/Relationship</v>
      </c>
      <c r="S170" s="15" t="str">
        <f t="shared" si="38"/>
        <v>OK</v>
      </c>
      <c r="T170" s="15" t="str">
        <f t="shared" si="39"/>
        <v>OK</v>
      </c>
      <c r="U170" s="15" t="str">
        <f t="shared" si="40"/>
        <v>OK</v>
      </c>
      <c r="V170" s="15" t="str">
        <f t="shared" si="41"/>
        <v>Likes/comments unavailable</v>
      </c>
    </row>
    <row r="171" spans="1:22" ht="57.6" x14ac:dyDescent="0.3">
      <c r="A171" s="15" t="s">
        <v>558</v>
      </c>
      <c r="B171" s="15" t="s">
        <v>483</v>
      </c>
      <c r="C171" s="16">
        <v>45544</v>
      </c>
      <c r="D171" s="15" t="s">
        <v>606</v>
      </c>
      <c r="E171" s="15">
        <v>2024</v>
      </c>
      <c r="F171" s="15" t="s">
        <v>559</v>
      </c>
      <c r="G171" s="15" t="s">
        <v>18</v>
      </c>
      <c r="H171" s="15" t="s">
        <v>19</v>
      </c>
      <c r="I171" s="15" t="s">
        <v>28</v>
      </c>
      <c r="J171" s="15" t="s">
        <v>120</v>
      </c>
      <c r="K171" s="15" t="s">
        <v>66</v>
      </c>
      <c r="L171" s="15" t="s">
        <v>19</v>
      </c>
      <c r="M171" s="17">
        <v>463</v>
      </c>
      <c r="N171" s="17">
        <v>7</v>
      </c>
      <c r="O171" s="15" t="s">
        <v>560</v>
      </c>
      <c r="P171" s="15" t="str">
        <f t="shared" si="35"/>
        <v>Academic &amp; Admissions</v>
      </c>
      <c r="Q171" s="15" t="str">
        <f t="shared" si="36"/>
        <v>Academic &amp; Admissions</v>
      </c>
      <c r="R171" s="15" t="str">
        <f t="shared" si="37"/>
        <v>Promotional/Conversion</v>
      </c>
      <c r="S171" s="15" t="str">
        <f t="shared" si="38"/>
        <v>OK</v>
      </c>
      <c r="T171" s="15" t="str">
        <f t="shared" si="39"/>
        <v>OK</v>
      </c>
      <c r="U171" s="15" t="str">
        <f t="shared" si="40"/>
        <v>OK</v>
      </c>
      <c r="V171" s="15" t="str">
        <f t="shared" si="41"/>
        <v>OK</v>
      </c>
    </row>
    <row r="172" spans="1:22" ht="72" x14ac:dyDescent="0.3">
      <c r="A172" s="15" t="s">
        <v>561</v>
      </c>
      <c r="B172" s="15" t="s">
        <v>483</v>
      </c>
      <c r="C172" s="16">
        <v>45554</v>
      </c>
      <c r="D172" s="15" t="s">
        <v>606</v>
      </c>
      <c r="E172" s="15">
        <v>2024</v>
      </c>
      <c r="F172" s="15" t="s">
        <v>562</v>
      </c>
      <c r="G172" s="15" t="s">
        <v>26</v>
      </c>
      <c r="H172" s="15" t="s">
        <v>19</v>
      </c>
      <c r="I172" s="15" t="s">
        <v>39</v>
      </c>
      <c r="J172" s="15" t="s">
        <v>120</v>
      </c>
      <c r="K172" s="15" t="s">
        <v>43</v>
      </c>
      <c r="L172" s="15" t="s">
        <v>19</v>
      </c>
      <c r="M172" s="17">
        <v>707</v>
      </c>
      <c r="N172" s="17">
        <v>5</v>
      </c>
      <c r="O172" s="15" t="s">
        <v>563</v>
      </c>
      <c r="P172" s="15" t="str">
        <f t="shared" si="35"/>
        <v>Research &amp; Innovation</v>
      </c>
      <c r="Q172" s="15" t="str">
        <f t="shared" si="36"/>
        <v>Academic &amp; Admissions</v>
      </c>
      <c r="R172" s="15" t="str">
        <f t="shared" si="37"/>
        <v>Engagement/Relationship</v>
      </c>
      <c r="S172" s="15" t="str">
        <f t="shared" si="38"/>
        <v>OK</v>
      </c>
      <c r="T172" s="15" t="str">
        <f t="shared" si="39"/>
        <v>OK</v>
      </c>
      <c r="U172" s="15" t="str">
        <f t="shared" si="40"/>
        <v>OK</v>
      </c>
      <c r="V172" s="15" t="str">
        <f t="shared" si="41"/>
        <v>OK</v>
      </c>
    </row>
    <row r="173" spans="1:22" ht="86.4" x14ac:dyDescent="0.3">
      <c r="A173" s="15" t="s">
        <v>564</v>
      </c>
      <c r="B173" s="15" t="s">
        <v>483</v>
      </c>
      <c r="C173" s="16">
        <v>45569</v>
      </c>
      <c r="D173" s="15" t="s">
        <v>607</v>
      </c>
      <c r="E173" s="15">
        <v>2024</v>
      </c>
      <c r="F173" s="15" t="s">
        <v>565</v>
      </c>
      <c r="G173" s="15" t="s">
        <v>47</v>
      </c>
      <c r="H173" s="15" t="s">
        <v>19</v>
      </c>
      <c r="I173" s="15" t="s">
        <v>27</v>
      </c>
      <c r="J173" s="15" t="s">
        <v>39</v>
      </c>
      <c r="K173" s="15" t="s">
        <v>29</v>
      </c>
      <c r="L173" s="15" t="s">
        <v>56</v>
      </c>
      <c r="M173" s="17">
        <v>1038</v>
      </c>
      <c r="N173" s="17">
        <v>6</v>
      </c>
      <c r="O173" s="15" t="s">
        <v>566</v>
      </c>
      <c r="P173" s="15" t="str">
        <f t="shared" si="35"/>
        <v>Institutional Reputation</v>
      </c>
      <c r="Q173" s="15" t="str">
        <f t="shared" si="36"/>
        <v>Research &amp; Innovation</v>
      </c>
      <c r="R173" s="15" t="str">
        <f t="shared" si="37"/>
        <v>Reputation-focused</v>
      </c>
      <c r="S173" s="15" t="str">
        <f t="shared" si="38"/>
        <v>OK</v>
      </c>
      <c r="T173" s="15" t="str">
        <f t="shared" si="39"/>
        <v>OK</v>
      </c>
      <c r="U173" s="15" t="str">
        <f t="shared" si="40"/>
        <v>OK</v>
      </c>
      <c r="V173" s="15" t="str">
        <f t="shared" si="41"/>
        <v>OK</v>
      </c>
    </row>
    <row r="174" spans="1:22" ht="86.4" x14ac:dyDescent="0.3">
      <c r="A174" s="15" t="s">
        <v>567</v>
      </c>
      <c r="B174" s="15" t="s">
        <v>483</v>
      </c>
      <c r="C174" s="16">
        <v>45574</v>
      </c>
      <c r="D174" s="15" t="s">
        <v>607</v>
      </c>
      <c r="E174" s="15">
        <v>2024</v>
      </c>
      <c r="F174" s="15" t="s">
        <v>568</v>
      </c>
      <c r="G174" s="15" t="s">
        <v>47</v>
      </c>
      <c r="H174" s="15" t="s">
        <v>19</v>
      </c>
      <c r="I174" s="15" t="s">
        <v>101</v>
      </c>
      <c r="J174" s="15" t="s">
        <v>124</v>
      </c>
      <c r="K174" s="15" t="s">
        <v>66</v>
      </c>
      <c r="L174" s="15" t="s">
        <v>19</v>
      </c>
      <c r="M174" s="17">
        <v>993</v>
      </c>
      <c r="N174" s="17">
        <v>10</v>
      </c>
      <c r="O174" s="15" t="s">
        <v>569</v>
      </c>
      <c r="P174" s="15" t="str">
        <f t="shared" si="35"/>
        <v>Career &amp; Alumni</v>
      </c>
      <c r="Q174" s="15" t="str">
        <f t="shared" si="36"/>
        <v>Student Experience &amp; Campus</v>
      </c>
      <c r="R174" s="15" t="str">
        <f t="shared" si="37"/>
        <v>Promotional/Conversion</v>
      </c>
      <c r="S174" s="15" t="str">
        <f t="shared" si="38"/>
        <v>OK</v>
      </c>
      <c r="T174" s="15" t="str">
        <f t="shared" si="39"/>
        <v>OK</v>
      </c>
      <c r="U174" s="15" t="str">
        <f t="shared" si="40"/>
        <v>OK</v>
      </c>
      <c r="V174" s="15" t="str">
        <f t="shared" si="41"/>
        <v>OK</v>
      </c>
    </row>
    <row r="175" spans="1:22" ht="129.6" x14ac:dyDescent="0.3">
      <c r="A175" s="15" t="s">
        <v>570</v>
      </c>
      <c r="B175" s="15" t="s">
        <v>483</v>
      </c>
      <c r="C175" s="16">
        <v>45586</v>
      </c>
      <c r="D175" s="15" t="s">
        <v>607</v>
      </c>
      <c r="E175" s="15">
        <v>2024</v>
      </c>
      <c r="F175" s="15" t="s">
        <v>571</v>
      </c>
      <c r="G175" s="15" t="s">
        <v>18</v>
      </c>
      <c r="H175" s="15" t="s">
        <v>19</v>
      </c>
      <c r="I175" s="15" t="s">
        <v>28</v>
      </c>
      <c r="J175" s="15" t="s">
        <v>20</v>
      </c>
      <c r="K175" s="15" t="s">
        <v>66</v>
      </c>
      <c r="L175" s="15" t="s">
        <v>19</v>
      </c>
      <c r="M175" s="17">
        <v>343</v>
      </c>
      <c r="N175" s="17">
        <v>4</v>
      </c>
      <c r="O175" s="15" t="s">
        <v>572</v>
      </c>
      <c r="P175" s="15" t="str">
        <f t="shared" si="35"/>
        <v>Academic &amp; Admissions</v>
      </c>
      <c r="Q175" s="15" t="str">
        <f t="shared" si="36"/>
        <v>Student Experience &amp; Campus</v>
      </c>
      <c r="R175" s="15" t="str">
        <f t="shared" si="37"/>
        <v>Promotional/Conversion</v>
      </c>
      <c r="S175" s="15" t="str">
        <f t="shared" si="38"/>
        <v>OK</v>
      </c>
      <c r="T175" s="15" t="str">
        <f t="shared" si="39"/>
        <v>OK</v>
      </c>
      <c r="U175" s="15" t="str">
        <f t="shared" si="40"/>
        <v>OK</v>
      </c>
      <c r="V175" s="15" t="str">
        <f t="shared" si="41"/>
        <v>OK</v>
      </c>
    </row>
    <row r="176" spans="1:22" ht="72" x14ac:dyDescent="0.3">
      <c r="A176" s="15" t="s">
        <v>573</v>
      </c>
      <c r="B176" s="15" t="s">
        <v>483</v>
      </c>
      <c r="C176" s="16">
        <v>45608</v>
      </c>
      <c r="D176" s="15" t="s">
        <v>608</v>
      </c>
      <c r="E176" s="15">
        <v>2024</v>
      </c>
      <c r="F176" s="15" t="s">
        <v>574</v>
      </c>
      <c r="G176" s="15" t="s">
        <v>18</v>
      </c>
      <c r="H176" s="15" t="s">
        <v>19</v>
      </c>
      <c r="I176" s="15" t="s">
        <v>60</v>
      </c>
      <c r="J176" s="15" t="s">
        <v>34</v>
      </c>
      <c r="K176" s="15" t="s">
        <v>66</v>
      </c>
      <c r="L176" s="15" t="s">
        <v>19</v>
      </c>
      <c r="M176" s="17">
        <v>660</v>
      </c>
      <c r="N176" s="17">
        <v>11</v>
      </c>
      <c r="O176" s="15" t="s">
        <v>575</v>
      </c>
      <c r="P176" s="15" t="str">
        <f t="shared" si="35"/>
        <v>Academic &amp; Admissions</v>
      </c>
      <c r="Q176" s="15" t="str">
        <f t="shared" si="36"/>
        <v>Student Experience &amp; Campus</v>
      </c>
      <c r="R176" s="15" t="str">
        <f t="shared" si="37"/>
        <v>Promotional/Conversion</v>
      </c>
      <c r="S176" s="15" t="str">
        <f t="shared" si="38"/>
        <v>OK</v>
      </c>
      <c r="T176" s="15" t="str">
        <f t="shared" si="39"/>
        <v>OK</v>
      </c>
      <c r="U176" s="15" t="str">
        <f t="shared" si="40"/>
        <v>OK</v>
      </c>
      <c r="V176" s="15" t="str">
        <f t="shared" si="41"/>
        <v>OK</v>
      </c>
    </row>
    <row r="177" spans="1:22" ht="72" x14ac:dyDescent="0.3">
      <c r="A177" s="15" t="s">
        <v>576</v>
      </c>
      <c r="B177" s="15" t="s">
        <v>483</v>
      </c>
      <c r="C177" s="16">
        <v>45615</v>
      </c>
      <c r="D177" s="15" t="s">
        <v>608</v>
      </c>
      <c r="E177" s="15">
        <v>2024</v>
      </c>
      <c r="F177" s="15" t="s">
        <v>577</v>
      </c>
      <c r="G177" s="15" t="s">
        <v>47</v>
      </c>
      <c r="H177" s="15" t="s">
        <v>19</v>
      </c>
      <c r="I177" s="15" t="s">
        <v>27</v>
      </c>
      <c r="J177" s="15" t="s">
        <v>39</v>
      </c>
      <c r="K177" s="15" t="s">
        <v>29</v>
      </c>
      <c r="L177" s="15" t="s">
        <v>56</v>
      </c>
      <c r="M177" s="17">
        <v>4466</v>
      </c>
      <c r="N177" s="17">
        <v>17</v>
      </c>
      <c r="O177" s="15" t="s">
        <v>578</v>
      </c>
      <c r="P177" s="15" t="str">
        <f t="shared" si="35"/>
        <v>Institutional Reputation</v>
      </c>
      <c r="Q177" s="15" t="str">
        <f t="shared" si="36"/>
        <v>Research &amp; Innovation</v>
      </c>
      <c r="R177" s="15" t="str">
        <f t="shared" si="37"/>
        <v>Reputation-focused</v>
      </c>
      <c r="S177" s="15" t="str">
        <f t="shared" si="38"/>
        <v>OK</v>
      </c>
      <c r="T177" s="15" t="str">
        <f t="shared" si="39"/>
        <v>OK</v>
      </c>
      <c r="U177" s="15" t="str">
        <f t="shared" si="40"/>
        <v>OK</v>
      </c>
      <c r="V177" s="15" t="str">
        <f t="shared" si="41"/>
        <v>OK</v>
      </c>
    </row>
    <row r="178" spans="1:22" ht="72" x14ac:dyDescent="0.3">
      <c r="A178" s="15" t="s">
        <v>579</v>
      </c>
      <c r="B178" s="15" t="s">
        <v>483</v>
      </c>
      <c r="C178" s="16">
        <v>45622</v>
      </c>
      <c r="D178" s="15" t="str">
        <f>IF(C178="","",TEXT(C178,"mmmm"))</f>
        <v>November</v>
      </c>
      <c r="E178" s="15">
        <f>IF(C178="","",YEAR(C178))</f>
        <v>2024</v>
      </c>
      <c r="F178" s="15" t="s">
        <v>580</v>
      </c>
      <c r="G178" s="15" t="s">
        <v>26</v>
      </c>
      <c r="H178" s="15" t="s">
        <v>19</v>
      </c>
      <c r="I178" s="15" t="s">
        <v>27</v>
      </c>
      <c r="J178" s="15" t="s">
        <v>20</v>
      </c>
      <c r="K178" s="15" t="s">
        <v>43</v>
      </c>
      <c r="L178" s="15" t="s">
        <v>19</v>
      </c>
      <c r="M178" s="17">
        <v>218</v>
      </c>
      <c r="N178" s="17">
        <v>2</v>
      </c>
      <c r="O178" s="15" t="s">
        <v>581</v>
      </c>
      <c r="P178" s="15" t="str">
        <f t="shared" si="35"/>
        <v>Institutional Reputation</v>
      </c>
      <c r="Q178" s="15" t="str">
        <f t="shared" si="36"/>
        <v>Student Experience &amp; Campus</v>
      </c>
      <c r="R178" s="15" t="str">
        <f t="shared" si="37"/>
        <v>Engagement/Relationship</v>
      </c>
      <c r="S178" s="15" t="str">
        <f t="shared" si="38"/>
        <v>OK</v>
      </c>
      <c r="T178" s="15" t="str">
        <f t="shared" si="39"/>
        <v>OK</v>
      </c>
      <c r="U178" s="15" t="str">
        <f t="shared" si="40"/>
        <v>OK</v>
      </c>
      <c r="V178" s="15" t="str">
        <f t="shared" si="41"/>
        <v>OK</v>
      </c>
    </row>
    <row r="179" spans="1:22" ht="72" x14ac:dyDescent="0.3">
      <c r="A179" s="15" t="s">
        <v>582</v>
      </c>
      <c r="B179" s="15" t="s">
        <v>483</v>
      </c>
      <c r="C179" s="16">
        <v>45629</v>
      </c>
      <c r="D179" s="15" t="s">
        <v>609</v>
      </c>
      <c r="E179" s="15">
        <v>2024</v>
      </c>
      <c r="F179" s="15" t="s">
        <v>583</v>
      </c>
      <c r="G179" s="15" t="s">
        <v>18</v>
      </c>
      <c r="H179" s="15" t="s">
        <v>19</v>
      </c>
      <c r="I179" s="15" t="s">
        <v>60</v>
      </c>
      <c r="J179" s="15" t="s">
        <v>28</v>
      </c>
      <c r="K179" s="15" t="s">
        <v>66</v>
      </c>
      <c r="L179" s="15" t="s">
        <v>19</v>
      </c>
      <c r="M179" s="17">
        <v>804</v>
      </c>
      <c r="N179" s="17">
        <v>7</v>
      </c>
      <c r="O179" s="15" t="s">
        <v>584</v>
      </c>
      <c r="P179" s="15" t="str">
        <f t="shared" si="35"/>
        <v>Academic &amp; Admissions</v>
      </c>
      <c r="Q179" s="15" t="str">
        <f t="shared" si="36"/>
        <v>Academic &amp; Admissions</v>
      </c>
      <c r="R179" s="15" t="str">
        <f t="shared" si="37"/>
        <v>Promotional/Conversion</v>
      </c>
      <c r="S179" s="15" t="str">
        <f t="shared" si="38"/>
        <v>OK</v>
      </c>
      <c r="T179" s="15" t="str">
        <f t="shared" si="39"/>
        <v>OK</v>
      </c>
      <c r="U179" s="15" t="str">
        <f t="shared" si="40"/>
        <v>OK</v>
      </c>
      <c r="V179" s="15" t="str">
        <f t="shared" si="41"/>
        <v>OK</v>
      </c>
    </row>
    <row r="180" spans="1:22" ht="72" x14ac:dyDescent="0.3">
      <c r="A180" s="15" t="s">
        <v>585</v>
      </c>
      <c r="B180" s="15" t="s">
        <v>483</v>
      </c>
      <c r="C180" s="16">
        <v>45642</v>
      </c>
      <c r="D180" s="15" t="str">
        <f>IF(C180="","",TEXT(C180,"mmmm"))</f>
        <v>December</v>
      </c>
      <c r="E180" s="15">
        <f>IF(C180="","",YEAR(C180))</f>
        <v>2024</v>
      </c>
      <c r="F180" s="15" t="s">
        <v>586</v>
      </c>
      <c r="G180" s="15" t="s">
        <v>26</v>
      </c>
      <c r="H180" s="15" t="s">
        <v>19</v>
      </c>
      <c r="I180" s="15" t="s">
        <v>27</v>
      </c>
      <c r="J180" s="15" t="s">
        <v>39</v>
      </c>
      <c r="K180" s="15" t="s">
        <v>29</v>
      </c>
      <c r="L180" s="15" t="s">
        <v>19</v>
      </c>
      <c r="M180" s="17">
        <v>1602</v>
      </c>
      <c r="N180" s="17">
        <v>3</v>
      </c>
      <c r="O180" s="15" t="s">
        <v>587</v>
      </c>
      <c r="P180" s="15" t="str">
        <f t="shared" si="35"/>
        <v>Institutional Reputation</v>
      </c>
      <c r="Q180" s="15" t="str">
        <f t="shared" si="36"/>
        <v>Research &amp; Innovation</v>
      </c>
      <c r="R180" s="15" t="str">
        <f t="shared" si="37"/>
        <v>Reputation-focused</v>
      </c>
      <c r="S180" s="15" t="str">
        <f t="shared" si="38"/>
        <v>OK</v>
      </c>
      <c r="T180" s="15" t="str">
        <f t="shared" si="39"/>
        <v>OK</v>
      </c>
      <c r="U180" s="15" t="str">
        <f t="shared" si="40"/>
        <v>OK</v>
      </c>
      <c r="V180" s="15" t="str">
        <f t="shared" si="41"/>
        <v>OK</v>
      </c>
    </row>
    <row r="181" spans="1:22" ht="144" x14ac:dyDescent="0.3">
      <c r="A181" s="15" t="s">
        <v>588</v>
      </c>
      <c r="B181" s="15" t="s">
        <v>483</v>
      </c>
      <c r="C181" s="16">
        <v>45643</v>
      </c>
      <c r="D181" s="15" t="s">
        <v>609</v>
      </c>
      <c r="E181" s="15">
        <v>2024</v>
      </c>
      <c r="F181" s="15" t="s">
        <v>589</v>
      </c>
      <c r="G181" s="15" t="s">
        <v>18</v>
      </c>
      <c r="H181" s="15" t="s">
        <v>19</v>
      </c>
      <c r="I181" s="15" t="s">
        <v>28</v>
      </c>
      <c r="J181" s="15" t="s">
        <v>60</v>
      </c>
      <c r="K181" s="15" t="s">
        <v>66</v>
      </c>
      <c r="L181" s="15" t="s">
        <v>19</v>
      </c>
      <c r="M181" s="17">
        <v>485</v>
      </c>
      <c r="N181" s="17">
        <v>37</v>
      </c>
      <c r="O181" s="15" t="s">
        <v>590</v>
      </c>
      <c r="P181" s="15" t="str">
        <f t="shared" si="35"/>
        <v>Academic &amp; Admissions</v>
      </c>
      <c r="Q181" s="15" t="str">
        <f t="shared" si="36"/>
        <v>Academic &amp; Admissions</v>
      </c>
      <c r="R181" s="15" t="str">
        <f t="shared" si="37"/>
        <v>Promotional/Conversion</v>
      </c>
      <c r="S181" s="15" t="str">
        <f t="shared" si="38"/>
        <v>OK</v>
      </c>
      <c r="T181" s="15" t="str">
        <f t="shared" si="39"/>
        <v>OK</v>
      </c>
      <c r="U181" s="15" t="str">
        <f t="shared" si="40"/>
        <v>OK</v>
      </c>
      <c r="V181" s="15" t="str">
        <f t="shared" si="41"/>
        <v>OK</v>
      </c>
    </row>
  </sheetData>
  <conditionalFormatting sqref="S2:U181">
    <cfRule type="expression" dxfId="9" priority="1">
      <formula>S2="OK"</formula>
    </cfRule>
    <cfRule type="expression" dxfId="8" priority="2">
      <formula>S2&lt;&gt;"OK"</formula>
    </cfRule>
  </conditionalFormatting>
  <conditionalFormatting sqref="V2:V181">
    <cfRule type="expression" dxfId="7" priority="3">
      <formula>V2="OK"</formula>
    </cfRule>
    <cfRule type="expression" dxfId="6" priority="4">
      <formula>V2&lt;&gt;"OK"</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4"/>
  <sheetViews>
    <sheetView topLeftCell="A13" zoomScale="40" zoomScaleNormal="40" workbookViewId="0">
      <selection activeCell="R28" sqref="R28"/>
    </sheetView>
  </sheetViews>
  <sheetFormatPr defaultRowHeight="14.4" x14ac:dyDescent="0.3"/>
  <cols>
    <col min="1" max="1" width="24" customWidth="1"/>
    <col min="2" max="2" width="75" customWidth="1"/>
    <col min="10" max="10" width="16" customWidth="1"/>
    <col min="11" max="11" width="57.77734375" customWidth="1"/>
    <col min="12" max="12" width="40.109375" customWidth="1"/>
    <col min="13" max="13" width="46.6640625" customWidth="1"/>
    <col min="14" max="14" width="43.21875" customWidth="1"/>
  </cols>
  <sheetData>
    <row r="1" spans="1:14" ht="19.2" customHeight="1" x14ac:dyDescent="0.3">
      <c r="A1" s="27" t="s">
        <v>610</v>
      </c>
      <c r="B1" s="27"/>
      <c r="C1" s="27"/>
      <c r="D1" s="27"/>
      <c r="E1" s="27"/>
      <c r="F1" s="27"/>
      <c r="G1" s="27"/>
      <c r="H1" s="27"/>
      <c r="I1" s="27"/>
      <c r="J1" s="27"/>
      <c r="K1" s="27"/>
      <c r="L1" s="27"/>
      <c r="M1" s="27"/>
      <c r="N1" s="27"/>
    </row>
    <row r="2" spans="1:14" ht="19.2" customHeight="1" x14ac:dyDescent="0.3">
      <c r="A2" s="27"/>
      <c r="B2" s="27"/>
      <c r="C2" s="27"/>
      <c r="D2" s="27"/>
      <c r="E2" s="27"/>
      <c r="F2" s="27"/>
      <c r="G2" s="27"/>
      <c r="H2" s="27"/>
      <c r="I2" s="27"/>
      <c r="J2" s="27"/>
      <c r="K2" s="27"/>
      <c r="L2" s="27"/>
      <c r="M2" s="27"/>
      <c r="N2" s="27"/>
    </row>
    <row r="3" spans="1:14" x14ac:dyDescent="0.3">
      <c r="A3" s="28" t="s">
        <v>611</v>
      </c>
      <c r="B3" s="28"/>
      <c r="C3" s="28"/>
      <c r="D3" s="28"/>
      <c r="E3" s="28"/>
      <c r="F3" s="28"/>
      <c r="G3" s="28"/>
      <c r="H3" s="28"/>
      <c r="I3" s="28"/>
      <c r="J3" s="28"/>
      <c r="K3" s="28"/>
      <c r="L3" s="28"/>
      <c r="M3" s="28"/>
      <c r="N3" s="28"/>
    </row>
    <row r="5" spans="1:14" x14ac:dyDescent="0.3">
      <c r="A5" s="14" t="s">
        <v>612</v>
      </c>
      <c r="B5" s="14" t="s">
        <v>613</v>
      </c>
      <c r="D5" s="29" t="s">
        <v>614</v>
      </c>
      <c r="E5" s="29"/>
      <c r="F5" s="29"/>
      <c r="G5" s="29"/>
      <c r="H5" s="29"/>
      <c r="I5" s="29"/>
      <c r="J5" s="13" t="s">
        <v>1</v>
      </c>
      <c r="K5" s="13" t="s">
        <v>615</v>
      </c>
      <c r="L5" s="13" t="s">
        <v>616</v>
      </c>
      <c r="M5" s="13" t="s">
        <v>617</v>
      </c>
      <c r="N5" s="13" t="s">
        <v>618</v>
      </c>
    </row>
    <row r="6" spans="1:14" ht="43.2" x14ac:dyDescent="0.3">
      <c r="A6" s="18" t="s">
        <v>619</v>
      </c>
      <c r="B6" s="15" t="s">
        <v>620</v>
      </c>
      <c r="D6" s="30" t="s">
        <v>621</v>
      </c>
      <c r="E6" s="30"/>
      <c r="F6" s="30" t="s">
        <v>622</v>
      </c>
      <c r="G6" s="30"/>
      <c r="H6" s="30" t="s">
        <v>623</v>
      </c>
      <c r="I6" s="30"/>
      <c r="J6" t="s">
        <v>624</v>
      </c>
      <c r="K6">
        <f>COUNTIFS('Analysis Data'!$B$2:$B$181,"University of Toronto",'Analysis Data'!$P$2:$P$181,K$5)</f>
        <v>19</v>
      </c>
      <c r="L6">
        <f>COUNTIFS('Analysis Data'!$B$2:$B$181,"University of Toronto",'Analysis Data'!$P$2:$P$181,L$5)</f>
        <v>7</v>
      </c>
      <c r="M6">
        <f>COUNTIFS('Analysis Data'!$B$2:$B$181,"University of Toronto",'Analysis Data'!$P$2:$P$181,M$5)</f>
        <v>5</v>
      </c>
      <c r="N6">
        <f>COUNTIFS('Analysis Data'!$B$2:$B$181,"University of Toronto",'Analysis Data'!$P$2:$P$181,"Institutional Reputation")+COUNTIFS('Analysis Data'!$B$2:$B$181,"University of Toronto",'Analysis Data'!$P$2:$P$181,"Research &amp; Innovation")</f>
        <v>5</v>
      </c>
    </row>
    <row r="7" spans="1:14" ht="28.8" x14ac:dyDescent="0.3">
      <c r="A7" s="18" t="s">
        <v>625</v>
      </c>
      <c r="B7" s="15" t="s">
        <v>626</v>
      </c>
      <c r="D7" s="31">
        <f>COUNTA('Analysis Data'!$A$2:$A$181)</f>
        <v>180</v>
      </c>
      <c r="E7" s="31"/>
      <c r="F7" s="31">
        <f>COUNTIF('Analysis Data'!$B$2:$B$181,"University of Toronto")</f>
        <v>36</v>
      </c>
      <c r="G7" s="31"/>
      <c r="H7" s="31">
        <v>12</v>
      </c>
      <c r="I7" s="31"/>
      <c r="J7" t="s">
        <v>627</v>
      </c>
      <c r="K7">
        <f>COUNTIFS('Analysis Data'!$B$2:$B$181,"McMaster University",'Analysis Data'!$P$2:$P$181,K$5)</f>
        <v>20</v>
      </c>
      <c r="L7">
        <f>COUNTIFS('Analysis Data'!$B$2:$B$181,"McMaster University",'Analysis Data'!$P$2:$P$181,L$5)</f>
        <v>7</v>
      </c>
      <c r="M7">
        <f>COUNTIFS('Analysis Data'!$B$2:$B$181,"McMaster University",'Analysis Data'!$P$2:$P$181,M$5)</f>
        <v>5</v>
      </c>
      <c r="N7">
        <f>COUNTIFS('Analysis Data'!$B$2:$B$181,"McMaster University",'Analysis Data'!$P$2:$P$181,"Institutional Reputation")+COUNTIFS('Analysis Data'!$B$2:$B$181,"McMaster University",'Analysis Data'!$P$2:$P$181,"Research &amp; Innovation")</f>
        <v>4</v>
      </c>
    </row>
    <row r="8" spans="1:14" x14ac:dyDescent="0.3">
      <c r="A8" s="18" t="s">
        <v>628</v>
      </c>
      <c r="B8" s="15" t="s">
        <v>629</v>
      </c>
      <c r="D8" s="31"/>
      <c r="E8" s="31"/>
      <c r="F8" s="31"/>
      <c r="G8" s="31"/>
      <c r="H8" s="31"/>
      <c r="I8" s="31"/>
      <c r="J8" t="s">
        <v>630</v>
      </c>
      <c r="K8">
        <f>COUNTIFS('Analysis Data'!$B$2:$B$181,"York University",'Analysis Data'!$P$2:$P$181,K$5)</f>
        <v>28</v>
      </c>
      <c r="L8">
        <f>COUNTIFS('Analysis Data'!$B$2:$B$181,"York University",'Analysis Data'!$P$2:$P$181,L$5)</f>
        <v>5</v>
      </c>
      <c r="M8">
        <f>COUNTIFS('Analysis Data'!$B$2:$B$181,"York University",'Analysis Data'!$P$2:$P$181,M$5)</f>
        <v>3</v>
      </c>
      <c r="N8">
        <f>COUNTIFS('Analysis Data'!$B$2:$B$181,"York University",'Analysis Data'!$P$2:$P$181,"Institutional Reputation")+COUNTIFS('Analysis Data'!$B$2:$B$181,"York University",'Analysis Data'!$P$2:$P$181,"Research &amp; Innovation")</f>
        <v>0</v>
      </c>
    </row>
    <row r="9" spans="1:14" x14ac:dyDescent="0.3">
      <c r="A9" s="18" t="s">
        <v>631</v>
      </c>
      <c r="B9" s="15" t="s">
        <v>632</v>
      </c>
      <c r="J9" t="s">
        <v>633</v>
      </c>
      <c r="K9">
        <f>COUNTIFS('Analysis Data'!$B$2:$B$181,"Toronto Metropolitan University",'Analysis Data'!$P$2:$P$181,K$5)</f>
        <v>20</v>
      </c>
      <c r="L9">
        <f>COUNTIFS('Analysis Data'!$B$2:$B$181,"Toronto Metropolitan University",'Analysis Data'!$P$2:$P$181,L$5)</f>
        <v>11</v>
      </c>
      <c r="M9">
        <f>COUNTIFS('Analysis Data'!$B$2:$B$181,"Toronto Metropolitan University",'Analysis Data'!$P$2:$P$181,M$5)</f>
        <v>1</v>
      </c>
      <c r="N9">
        <f>COUNTIFS('Analysis Data'!$B$2:$B$181,"Toronto Metropolitan University",'Analysis Data'!$P$2:$P$181,"Institutional Reputation")+COUNTIFS('Analysis Data'!$B$2:$B$181,"Toronto Metropolitan University",'Analysis Data'!$P$2:$P$181,"Research &amp; Innovation")</f>
        <v>4</v>
      </c>
    </row>
    <row r="10" spans="1:14" ht="28.8" x14ac:dyDescent="0.3">
      <c r="A10" s="18" t="s">
        <v>634</v>
      </c>
      <c r="B10" s="15" t="s">
        <v>635</v>
      </c>
      <c r="D10" s="30" t="s">
        <v>636</v>
      </c>
      <c r="E10" s="30"/>
      <c r="F10" s="30" t="s">
        <v>637</v>
      </c>
      <c r="G10" s="30"/>
      <c r="H10" s="30" t="s">
        <v>638</v>
      </c>
      <c r="I10" s="30"/>
      <c r="J10" t="s">
        <v>639</v>
      </c>
      <c r="K10">
        <f>COUNTIFS('Analysis Data'!$B$2:$B$181,"University of Waterloo",'Analysis Data'!$P$2:$P$181,K$5)</f>
        <v>16</v>
      </c>
      <c r="L10">
        <f>COUNTIFS('Analysis Data'!$B$2:$B$181,"University of Waterloo",'Analysis Data'!$P$2:$P$181,L$5)</f>
        <v>8</v>
      </c>
      <c r="M10">
        <f>COUNTIFS('Analysis Data'!$B$2:$B$181,"University of Waterloo",'Analysis Data'!$P$2:$P$181,M$5)</f>
        <v>2</v>
      </c>
      <c r="N10">
        <f>COUNTIFS('Analysis Data'!$B$2:$B$181,"University of Waterloo",'Analysis Data'!$P$2:$P$181,"Institutional Reputation")+COUNTIFS('Analysis Data'!$B$2:$B$181,"University of Waterloo",'Analysis Data'!$P$2:$P$181,"Research &amp; Innovation")</f>
        <v>10</v>
      </c>
    </row>
    <row r="11" spans="1:14" x14ac:dyDescent="0.3">
      <c r="D11" s="33">
        <f>COUNTIF('Analysis Data'!$G$2:$G$181,"Reel")/COUNTA('Analysis Data'!$A$2:$A$181)</f>
        <v>0.6333333333333333</v>
      </c>
      <c r="E11" s="33"/>
      <c r="F11" s="33">
        <f>COUNTIF('Analysis Data'!$L$2:$L$181,"Yes")/COUNTA('Analysis Data'!$A$2:$A$181)</f>
        <v>0.67222222222222228</v>
      </c>
      <c r="G11" s="33"/>
      <c r="H11" s="34">
        <v>294300</v>
      </c>
      <c r="I11" s="34"/>
    </row>
    <row r="12" spans="1:14" x14ac:dyDescent="0.3">
      <c r="D12" s="33"/>
      <c r="E12" s="33"/>
      <c r="F12" s="33"/>
      <c r="G12" s="33"/>
      <c r="H12" s="34"/>
      <c r="I12" s="34"/>
    </row>
    <row r="13" spans="1:14" x14ac:dyDescent="0.3">
      <c r="J13" s="13" t="s">
        <v>1</v>
      </c>
      <c r="K13" s="13" t="s">
        <v>640</v>
      </c>
      <c r="L13" s="13" t="s">
        <v>641</v>
      </c>
      <c r="M13" s="13" t="s">
        <v>642</v>
      </c>
      <c r="N13" s="13" t="s">
        <v>93</v>
      </c>
    </row>
    <row r="14" spans="1:14" x14ac:dyDescent="0.3">
      <c r="A14" s="29" t="s">
        <v>643</v>
      </c>
      <c r="B14" s="29"/>
      <c r="C14" s="29"/>
      <c r="D14" s="29"/>
      <c r="E14" s="29"/>
      <c r="F14" s="29"/>
      <c r="G14" s="29"/>
      <c r="H14" s="29"/>
      <c r="I14" s="29"/>
      <c r="J14" t="s">
        <v>624</v>
      </c>
      <c r="K14">
        <f>COUNTIFS('Analysis Data'!$B$2:$B$181,"University of Toronto",'Analysis Data'!$R$2:$R$181,K$13)</f>
        <v>16</v>
      </c>
      <c r="L14">
        <f>COUNTIFS('Analysis Data'!$B$2:$B$181,"University of Toronto",'Analysis Data'!$R$2:$R$181,L$13)</f>
        <v>10</v>
      </c>
      <c r="M14">
        <f>COUNTIFS('Analysis Data'!$B$2:$B$181,"University of Toronto",'Analysis Data'!$R$2:$R$181,M$13)</f>
        <v>4</v>
      </c>
      <c r="N14">
        <f>COUNTIFS('Analysis Data'!$B$2:$B$181,"University of Toronto",'Analysis Data'!$R$2:$R$181,N$13)</f>
        <v>6</v>
      </c>
    </row>
    <row r="15" spans="1:14" x14ac:dyDescent="0.3">
      <c r="A15" s="32" t="s">
        <v>644</v>
      </c>
      <c r="B15" s="32"/>
      <c r="C15" s="32"/>
      <c r="D15" s="32"/>
      <c r="E15" s="32"/>
      <c r="F15" s="32"/>
      <c r="G15" s="32"/>
      <c r="H15" s="32"/>
      <c r="I15" s="32"/>
      <c r="J15" t="s">
        <v>627</v>
      </c>
      <c r="K15">
        <f>COUNTIFS('Analysis Data'!$B$2:$B$181,"McMaster University",'Analysis Data'!$R$2:$R$181,K$13)</f>
        <v>22</v>
      </c>
      <c r="L15">
        <f>COUNTIFS('Analysis Data'!$B$2:$B$181,"McMaster University",'Analysis Data'!$R$2:$R$181,L$13)</f>
        <v>10</v>
      </c>
      <c r="M15">
        <f>COUNTIFS('Analysis Data'!$B$2:$B$181,"McMaster University",'Analysis Data'!$R$2:$R$181,M$13)</f>
        <v>2</v>
      </c>
      <c r="N15">
        <f>COUNTIFS('Analysis Data'!$B$2:$B$181,"McMaster University",'Analysis Data'!$R$2:$R$181,N$13)</f>
        <v>2</v>
      </c>
    </row>
    <row r="16" spans="1:14" x14ac:dyDescent="0.3">
      <c r="A16" s="32"/>
      <c r="B16" s="32"/>
      <c r="C16" s="32"/>
      <c r="D16" s="32"/>
      <c r="E16" s="32"/>
      <c r="F16" s="32"/>
      <c r="G16" s="32"/>
      <c r="H16" s="32"/>
      <c r="I16" s="32"/>
      <c r="J16" t="s">
        <v>630</v>
      </c>
      <c r="K16">
        <f>COUNTIFS('Analysis Data'!$B$2:$B$181,"York University",'Analysis Data'!$R$2:$R$181,K$13)</f>
        <v>21</v>
      </c>
      <c r="L16">
        <f>COUNTIFS('Analysis Data'!$B$2:$B$181,"York University",'Analysis Data'!$R$2:$R$181,L$13)</f>
        <v>12</v>
      </c>
      <c r="M16">
        <f>COUNTIFS('Analysis Data'!$B$2:$B$181,"York University",'Analysis Data'!$R$2:$R$181,M$13)</f>
        <v>1</v>
      </c>
      <c r="N16">
        <f>COUNTIFS('Analysis Data'!$B$2:$B$181,"York University",'Analysis Data'!$R$2:$R$181,N$13)</f>
        <v>2</v>
      </c>
    </row>
    <row r="17" spans="1:14" x14ac:dyDescent="0.3">
      <c r="A17" s="32"/>
      <c r="B17" s="32"/>
      <c r="C17" s="32"/>
      <c r="D17" s="32"/>
      <c r="E17" s="32"/>
      <c r="F17" s="32"/>
      <c r="G17" s="32"/>
      <c r="H17" s="32"/>
      <c r="I17" s="32"/>
      <c r="J17" t="s">
        <v>633</v>
      </c>
      <c r="K17">
        <f>COUNTIFS('Analysis Data'!$B$2:$B$181,"Toronto Metropolitan University",'Analysis Data'!$R$2:$R$181,K$13)</f>
        <v>15</v>
      </c>
      <c r="L17">
        <f>COUNTIFS('Analysis Data'!$B$2:$B$181,"Toronto Metropolitan University",'Analysis Data'!$R$2:$R$181,L$13)</f>
        <v>14</v>
      </c>
      <c r="M17">
        <f>COUNTIFS('Analysis Data'!$B$2:$B$181,"Toronto Metropolitan University",'Analysis Data'!$R$2:$R$181,M$13)</f>
        <v>4</v>
      </c>
      <c r="N17">
        <f>COUNTIFS('Analysis Data'!$B$2:$B$181,"Toronto Metropolitan University",'Analysis Data'!$R$2:$R$181,N$13)</f>
        <v>3</v>
      </c>
    </row>
    <row r="18" spans="1:14" x14ac:dyDescent="0.3">
      <c r="A18" s="32"/>
      <c r="B18" s="32"/>
      <c r="C18" s="32"/>
      <c r="D18" s="32"/>
      <c r="E18" s="32"/>
      <c r="F18" s="32"/>
      <c r="G18" s="32"/>
      <c r="H18" s="32"/>
      <c r="I18" s="32"/>
      <c r="J18" t="s">
        <v>639</v>
      </c>
      <c r="K18">
        <f>COUNTIFS('Analysis Data'!$B$2:$B$181,"University of Waterloo",'Analysis Data'!$R$2:$R$181,K$13)</f>
        <v>15</v>
      </c>
      <c r="L18">
        <f>COUNTIFS('Analysis Data'!$B$2:$B$181,"University of Waterloo",'Analysis Data'!$R$2:$R$181,L$13)</f>
        <v>11</v>
      </c>
      <c r="M18">
        <f>COUNTIFS('Analysis Data'!$B$2:$B$181,"University of Waterloo",'Analysis Data'!$R$2:$R$181,M$13)</f>
        <v>10</v>
      </c>
      <c r="N18">
        <f>COUNTIFS('Analysis Data'!$B$2:$B$181,"University of Waterloo",'Analysis Data'!$R$2:$R$181,N$13)</f>
        <v>0</v>
      </c>
    </row>
    <row r="19" spans="1:14" x14ac:dyDescent="0.3">
      <c r="A19" s="32"/>
      <c r="B19" s="32"/>
      <c r="C19" s="32"/>
      <c r="D19" s="32"/>
      <c r="E19" s="32"/>
      <c r="F19" s="32"/>
      <c r="G19" s="32"/>
      <c r="H19" s="32"/>
      <c r="I19" s="32"/>
    </row>
    <row r="20" spans="1:14" x14ac:dyDescent="0.3">
      <c r="A20" s="32"/>
      <c r="B20" s="32"/>
      <c r="C20" s="32"/>
      <c r="D20" s="32"/>
      <c r="E20" s="32"/>
      <c r="F20" s="32"/>
      <c r="G20" s="32"/>
      <c r="H20" s="32"/>
      <c r="I20" s="32"/>
    </row>
    <row r="21" spans="1:14" x14ac:dyDescent="0.3">
      <c r="A21" s="32"/>
      <c r="B21" s="32"/>
      <c r="C21" s="32"/>
      <c r="D21" s="32"/>
      <c r="E21" s="32"/>
      <c r="F21" s="32"/>
      <c r="G21" s="32"/>
      <c r="H21" s="32"/>
      <c r="I21" s="32"/>
      <c r="J21" s="13" t="s">
        <v>1</v>
      </c>
      <c r="K21" s="13" t="s">
        <v>18</v>
      </c>
      <c r="L21" s="13" t="s">
        <v>26</v>
      </c>
      <c r="M21" s="13" t="s">
        <v>47</v>
      </c>
    </row>
    <row r="22" spans="1:14" x14ac:dyDescent="0.3">
      <c r="A22" s="32"/>
      <c r="B22" s="32"/>
      <c r="C22" s="32"/>
      <c r="D22" s="32"/>
      <c r="E22" s="32"/>
      <c r="F22" s="32"/>
      <c r="G22" s="32"/>
      <c r="H22" s="32"/>
      <c r="I22" s="32"/>
      <c r="J22" t="s">
        <v>624</v>
      </c>
      <c r="K22">
        <f>COUNTIFS('Analysis Data'!$B$2:$B$181,"University of Toronto",'Analysis Data'!$G$2:$G$181,K$21)</f>
        <v>23</v>
      </c>
      <c r="L22">
        <f>COUNTIFS('Analysis Data'!$B$2:$B$181,"University of Toronto",'Analysis Data'!$G$2:$G$181,L$21)</f>
        <v>11</v>
      </c>
      <c r="M22">
        <f>COUNTIFS('Analysis Data'!$B$2:$B$181,"University of Toronto",'Analysis Data'!$G$2:$G$181,M$21)</f>
        <v>2</v>
      </c>
    </row>
    <row r="23" spans="1:14" x14ac:dyDescent="0.3">
      <c r="A23" s="32"/>
      <c r="B23" s="32"/>
      <c r="C23" s="32"/>
      <c r="D23" s="32"/>
      <c r="E23" s="32"/>
      <c r="F23" s="32"/>
      <c r="G23" s="32"/>
      <c r="H23" s="32"/>
      <c r="I23" s="32"/>
      <c r="J23" t="s">
        <v>627</v>
      </c>
      <c r="K23">
        <f>COUNTIFS('Analysis Data'!$B$2:$B$181,"McMaster University",'Analysis Data'!$G$2:$G$181,K$21)</f>
        <v>21</v>
      </c>
      <c r="L23">
        <f>COUNTIFS('Analysis Data'!$B$2:$B$181,"McMaster University",'Analysis Data'!$G$2:$G$181,L$21)</f>
        <v>2</v>
      </c>
      <c r="M23">
        <f>COUNTIFS('Analysis Data'!$B$2:$B$181,"McMaster University",'Analysis Data'!$G$2:$G$181,M$21)</f>
        <v>13</v>
      </c>
    </row>
    <row r="24" spans="1:14" x14ac:dyDescent="0.3">
      <c r="A24" s="32"/>
      <c r="B24" s="32"/>
      <c r="C24" s="32"/>
      <c r="D24" s="32"/>
      <c r="E24" s="32"/>
      <c r="F24" s="32"/>
      <c r="G24" s="32"/>
      <c r="H24" s="32"/>
      <c r="I24" s="32"/>
      <c r="J24" t="s">
        <v>630</v>
      </c>
      <c r="K24">
        <f>COUNTIFS('Analysis Data'!$B$2:$B$181,"York University",'Analysis Data'!$G$2:$G$181,K$21)</f>
        <v>28</v>
      </c>
      <c r="L24">
        <f>COUNTIFS('Analysis Data'!$B$2:$B$181,"York University",'Analysis Data'!$G$2:$G$181,L$21)</f>
        <v>4</v>
      </c>
      <c r="M24">
        <f>COUNTIFS('Analysis Data'!$B$2:$B$181,"York University",'Analysis Data'!$G$2:$G$181,M$21)</f>
        <v>4</v>
      </c>
    </row>
    <row r="25" spans="1:14" x14ac:dyDescent="0.3">
      <c r="J25" t="s">
        <v>633</v>
      </c>
      <c r="K25">
        <f>COUNTIFS('Analysis Data'!$B$2:$B$181,"Toronto Metropolitan University",'Analysis Data'!$G$2:$G$181,K$21)</f>
        <v>26</v>
      </c>
      <c r="L25">
        <f>COUNTIFS('Analysis Data'!$B$2:$B$181,"Toronto Metropolitan University",'Analysis Data'!$G$2:$G$181,L$21)</f>
        <v>7</v>
      </c>
      <c r="M25">
        <f>COUNTIFS('Analysis Data'!$B$2:$B$181,"Toronto Metropolitan University",'Analysis Data'!$G$2:$G$181,M$21)</f>
        <v>3</v>
      </c>
    </row>
    <row r="26" spans="1:14" x14ac:dyDescent="0.3">
      <c r="J26" t="s">
        <v>639</v>
      </c>
      <c r="K26">
        <f>COUNTIFS('Analysis Data'!$B$2:$B$181,"University of Waterloo",'Analysis Data'!$G$2:$G$181,K$21)</f>
        <v>16</v>
      </c>
      <c r="L26">
        <f>COUNTIFS('Analysis Data'!$B$2:$B$181,"University of Waterloo",'Analysis Data'!$G$2:$G$181,L$21)</f>
        <v>10</v>
      </c>
      <c r="M26">
        <f>COUNTIFS('Analysis Data'!$B$2:$B$181,"University of Waterloo",'Analysis Data'!$G$2:$G$181,M$21)</f>
        <v>10</v>
      </c>
    </row>
    <row r="29" spans="1:14" x14ac:dyDescent="0.3">
      <c r="J29" s="13" t="s">
        <v>1</v>
      </c>
      <c r="K29" s="13" t="s">
        <v>645</v>
      </c>
    </row>
    <row r="30" spans="1:14" x14ac:dyDescent="0.3">
      <c r="J30" t="s">
        <v>624</v>
      </c>
      <c r="K30" s="19">
        <f>COUNTIFS('Analysis Data'!$B$2:$B$181,"University of Toronto",'Analysis Data'!$L$2:$L$181,"Yes")/COUNTIF('Analysis Data'!$B$2:$B$181,"University of Toronto")</f>
        <v>0.86111111111111116</v>
      </c>
    </row>
    <row r="31" spans="1:14" x14ac:dyDescent="0.3">
      <c r="J31" t="s">
        <v>627</v>
      </c>
      <c r="K31" s="19">
        <f>COUNTIFS('Analysis Data'!$B$2:$B$181,"McMaster University",'Analysis Data'!$L$2:$L$181,"Yes")/COUNTIF('Analysis Data'!$B$2:$B$181,"McMaster University")</f>
        <v>0.63888888888888884</v>
      </c>
    </row>
    <row r="32" spans="1:14" x14ac:dyDescent="0.3">
      <c r="J32" t="s">
        <v>630</v>
      </c>
      <c r="K32" s="19">
        <f>COUNTIFS('Analysis Data'!$B$2:$B$181,"York University",'Analysis Data'!$L$2:$L$181,"Yes")/COUNTIF('Analysis Data'!$B$2:$B$181,"York University")</f>
        <v>0.41666666666666669</v>
      </c>
    </row>
    <row r="33" spans="10:11" x14ac:dyDescent="0.3">
      <c r="J33" t="s">
        <v>633</v>
      </c>
      <c r="K33" s="19">
        <f>COUNTIFS('Analysis Data'!$B$2:$B$181,"Toronto Metropolitan University",'Analysis Data'!$L$2:$L$181,"Yes")/COUNTIF('Analysis Data'!$B$2:$B$181,"Toronto Metropolitan University")</f>
        <v>0.58333333333333337</v>
      </c>
    </row>
    <row r="34" spans="10:11" x14ac:dyDescent="0.3">
      <c r="J34" t="s">
        <v>639</v>
      </c>
      <c r="K34" s="19">
        <f>COUNTIFS('Analysis Data'!$B$2:$B$181,"University of Waterloo",'Analysis Data'!$L$2:$L$181,"Yes")/COUNTIF('Analysis Data'!$B$2:$B$181,"University of Waterloo")</f>
        <v>0.86111111111111116</v>
      </c>
    </row>
  </sheetData>
  <mergeCells count="17">
    <mergeCell ref="A14:I14"/>
    <mergeCell ref="A15:I24"/>
    <mergeCell ref="D10:E10"/>
    <mergeCell ref="D11:E12"/>
    <mergeCell ref="F10:G10"/>
    <mergeCell ref="F11:G12"/>
    <mergeCell ref="H10:I10"/>
    <mergeCell ref="H11:I12"/>
    <mergeCell ref="A1:N2"/>
    <mergeCell ref="A3:N3"/>
    <mergeCell ref="D5:I5"/>
    <mergeCell ref="D6:E6"/>
    <mergeCell ref="D7:E8"/>
    <mergeCell ref="F6:G6"/>
    <mergeCell ref="F7:G8"/>
    <mergeCell ref="H6:I6"/>
    <mergeCell ref="H7:I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zoomScale="77" zoomScaleNormal="77" workbookViewId="0">
      <selection activeCell="H24" sqref="H24"/>
    </sheetView>
  </sheetViews>
  <sheetFormatPr defaultRowHeight="14.4" x14ac:dyDescent="0.3"/>
  <cols>
    <col min="1" max="1" width="34" customWidth="1"/>
    <col min="2" max="8" width="14" customWidth="1"/>
  </cols>
  <sheetData>
    <row r="1" spans="1:8" ht="19.2" customHeight="1" x14ac:dyDescent="0.3">
      <c r="A1" s="35" t="s">
        <v>646</v>
      </c>
      <c r="B1" s="35"/>
      <c r="C1" s="35"/>
      <c r="D1" s="35"/>
      <c r="E1" s="35"/>
      <c r="F1" s="35"/>
      <c r="G1" s="35"/>
      <c r="H1" s="35"/>
    </row>
    <row r="2" spans="1:8" ht="19.2" customHeight="1" x14ac:dyDescent="0.3">
      <c r="A2" s="35"/>
      <c r="B2" s="35"/>
      <c r="C2" s="35"/>
      <c r="D2" s="35"/>
      <c r="E2" s="35"/>
      <c r="F2" s="35"/>
      <c r="G2" s="35"/>
      <c r="H2" s="35"/>
    </row>
    <row r="4" spans="1:8" x14ac:dyDescent="0.3">
      <c r="A4" s="13" t="s">
        <v>8</v>
      </c>
      <c r="B4" s="13" t="s">
        <v>624</v>
      </c>
      <c r="C4" s="13" t="s">
        <v>627</v>
      </c>
      <c r="D4" s="13" t="s">
        <v>630</v>
      </c>
      <c r="E4" s="13" t="s">
        <v>633</v>
      </c>
      <c r="F4" s="13" t="s">
        <v>639</v>
      </c>
      <c r="G4" s="13" t="s">
        <v>647</v>
      </c>
      <c r="H4" s="13" t="s">
        <v>648</v>
      </c>
    </row>
    <row r="5" spans="1:8" x14ac:dyDescent="0.3">
      <c r="A5" t="s">
        <v>20</v>
      </c>
      <c r="B5">
        <f>COUNTIFS('Analysis Data'!$B$2:$B$181,"University of Toronto",'Analysis Data'!$I$2:$I$181,$A5)</f>
        <v>9</v>
      </c>
      <c r="C5">
        <f>COUNTIFS('Analysis Data'!$B$2:$B$181,"McMaster University",'Analysis Data'!$I$2:$I$181,$A5)</f>
        <v>14</v>
      </c>
      <c r="D5">
        <f>COUNTIFS('Analysis Data'!$B$2:$B$181,"York University",'Analysis Data'!$I$2:$I$181,$A5)</f>
        <v>15</v>
      </c>
      <c r="E5">
        <f>COUNTIFS('Analysis Data'!$B$2:$B$181,"Toronto Metropolitan University",'Analysis Data'!$I$2:$I$181,$A5)</f>
        <v>14</v>
      </c>
      <c r="F5">
        <f>COUNTIFS('Analysis Data'!$B$2:$B$181,"University of Waterloo",'Analysis Data'!$I$2:$I$181,$A5)</f>
        <v>13</v>
      </c>
      <c r="G5">
        <f t="shared" ref="G5:G19" si="0">SUM(B5:F5)</f>
        <v>65</v>
      </c>
      <c r="H5" s="19">
        <f>G5/180</f>
        <v>0.3611111111111111</v>
      </c>
    </row>
    <row r="6" spans="1:8" x14ac:dyDescent="0.3">
      <c r="A6" t="s">
        <v>60</v>
      </c>
      <c r="B6">
        <f>COUNTIFS('Analysis Data'!$B$2:$B$181,"University of Toronto",'Analysis Data'!$I$2:$I$181,$A6)</f>
        <v>3</v>
      </c>
      <c r="C6">
        <f>COUNTIFS('Analysis Data'!$B$2:$B$181,"McMaster University",'Analysis Data'!$I$2:$I$181,$A6)</f>
        <v>4</v>
      </c>
      <c r="D6">
        <f>COUNTIFS('Analysis Data'!$B$2:$B$181,"York University",'Analysis Data'!$I$2:$I$181,$A6)</f>
        <v>2</v>
      </c>
      <c r="E6">
        <f>COUNTIFS('Analysis Data'!$B$2:$B$181,"Toronto Metropolitan University",'Analysis Data'!$I$2:$I$181,$A6)</f>
        <v>7</v>
      </c>
      <c r="F6">
        <f>COUNTIFS('Analysis Data'!$B$2:$B$181,"University of Waterloo",'Analysis Data'!$I$2:$I$181,$A6)</f>
        <v>2</v>
      </c>
      <c r="G6">
        <f t="shared" si="0"/>
        <v>18</v>
      </c>
      <c r="H6" s="19">
        <f t="shared" ref="H6:H19" si="1">G6/180</f>
        <v>0.1</v>
      </c>
    </row>
    <row r="7" spans="1:8" x14ac:dyDescent="0.3">
      <c r="A7" t="s">
        <v>27</v>
      </c>
      <c r="B7">
        <f>COUNTIFS('Analysis Data'!$B$2:$B$181,"University of Toronto",'Analysis Data'!$I$2:$I$181,$A7)</f>
        <v>4</v>
      </c>
      <c r="C7">
        <f>COUNTIFS('Analysis Data'!$B$2:$B$181,"McMaster University",'Analysis Data'!$I$2:$I$181,$A7)</f>
        <v>3</v>
      </c>
      <c r="D7">
        <f>COUNTIFS('Analysis Data'!$B$2:$B$181,"York University",'Analysis Data'!$I$2:$I$181,$A7)</f>
        <v>0</v>
      </c>
      <c r="E7">
        <f>COUNTIFS('Analysis Data'!$B$2:$B$181,"Toronto Metropolitan University",'Analysis Data'!$I$2:$I$181,$A7)</f>
        <v>1</v>
      </c>
      <c r="F7">
        <f>COUNTIFS('Analysis Data'!$B$2:$B$181,"University of Waterloo",'Analysis Data'!$I$2:$I$181,$A7)</f>
        <v>6</v>
      </c>
      <c r="G7">
        <f t="shared" si="0"/>
        <v>14</v>
      </c>
      <c r="H7" s="19">
        <f t="shared" si="1"/>
        <v>7.7777777777777779E-2</v>
      </c>
    </row>
    <row r="8" spans="1:8" x14ac:dyDescent="0.3">
      <c r="A8" t="s">
        <v>70</v>
      </c>
      <c r="B8">
        <f>COUNTIFS('Analysis Data'!$B$2:$B$181,"University of Toronto",'Analysis Data'!$I$2:$I$181,$A8)</f>
        <v>3</v>
      </c>
      <c r="C8">
        <f>COUNTIFS('Analysis Data'!$B$2:$B$181,"McMaster University",'Analysis Data'!$I$2:$I$181,$A8)</f>
        <v>1</v>
      </c>
      <c r="D8">
        <f>COUNTIFS('Analysis Data'!$B$2:$B$181,"York University",'Analysis Data'!$I$2:$I$181,$A8)</f>
        <v>5</v>
      </c>
      <c r="E8">
        <f>COUNTIFS('Analysis Data'!$B$2:$B$181,"Toronto Metropolitan University",'Analysis Data'!$I$2:$I$181,$A8)</f>
        <v>2</v>
      </c>
      <c r="F8">
        <f>COUNTIFS('Analysis Data'!$B$2:$B$181,"University of Waterloo",'Analysis Data'!$I$2:$I$181,$A8)</f>
        <v>2</v>
      </c>
      <c r="G8">
        <f t="shared" si="0"/>
        <v>13</v>
      </c>
      <c r="H8" s="19">
        <f t="shared" si="1"/>
        <v>7.2222222222222215E-2</v>
      </c>
    </row>
    <row r="9" spans="1:8" x14ac:dyDescent="0.3">
      <c r="A9" t="s">
        <v>28</v>
      </c>
      <c r="B9">
        <f>COUNTIFS('Analysis Data'!$B$2:$B$181,"University of Toronto",'Analysis Data'!$I$2:$I$181,$A9)</f>
        <v>2</v>
      </c>
      <c r="C9">
        <f>COUNTIFS('Analysis Data'!$B$2:$B$181,"McMaster University",'Analysis Data'!$I$2:$I$181,$A9)</f>
        <v>2</v>
      </c>
      <c r="D9">
        <f>COUNTIFS('Analysis Data'!$B$2:$B$181,"York University",'Analysis Data'!$I$2:$I$181,$A9)</f>
        <v>1</v>
      </c>
      <c r="E9">
        <f>COUNTIFS('Analysis Data'!$B$2:$B$181,"Toronto Metropolitan University",'Analysis Data'!$I$2:$I$181,$A9)</f>
        <v>1</v>
      </c>
      <c r="F9">
        <f>COUNTIFS('Analysis Data'!$B$2:$B$181,"University of Waterloo",'Analysis Data'!$I$2:$I$181,$A9)</f>
        <v>6</v>
      </c>
      <c r="G9">
        <f t="shared" si="0"/>
        <v>12</v>
      </c>
      <c r="H9" s="19">
        <f t="shared" si="1"/>
        <v>6.6666666666666666E-2</v>
      </c>
    </row>
    <row r="10" spans="1:8" x14ac:dyDescent="0.3">
      <c r="A10" t="s">
        <v>21</v>
      </c>
      <c r="B10">
        <f>COUNTIFS('Analysis Data'!$B$2:$B$181,"University of Toronto",'Analysis Data'!$I$2:$I$181,$A10)</f>
        <v>1</v>
      </c>
      <c r="C10">
        <f>COUNTIFS('Analysis Data'!$B$2:$B$181,"McMaster University",'Analysis Data'!$I$2:$I$181,$A10)</f>
        <v>3</v>
      </c>
      <c r="D10">
        <f>COUNTIFS('Analysis Data'!$B$2:$B$181,"York University",'Analysis Data'!$I$2:$I$181,$A10)</f>
        <v>5</v>
      </c>
      <c r="E10">
        <f>COUNTIFS('Analysis Data'!$B$2:$B$181,"Toronto Metropolitan University",'Analysis Data'!$I$2:$I$181,$A10)</f>
        <v>3</v>
      </c>
      <c r="F10">
        <f>COUNTIFS('Analysis Data'!$B$2:$B$181,"University of Waterloo",'Analysis Data'!$I$2:$I$181,$A10)</f>
        <v>0</v>
      </c>
      <c r="G10">
        <f t="shared" si="0"/>
        <v>12</v>
      </c>
      <c r="H10" s="19">
        <f t="shared" si="1"/>
        <v>6.6666666666666666E-2</v>
      </c>
    </row>
    <row r="11" spans="1:8" x14ac:dyDescent="0.3">
      <c r="A11" t="s">
        <v>33</v>
      </c>
      <c r="B11">
        <f>COUNTIFS('Analysis Data'!$B$2:$B$181,"University of Toronto",'Analysis Data'!$I$2:$I$181,$A11)</f>
        <v>5</v>
      </c>
      <c r="C11">
        <f>COUNTIFS('Analysis Data'!$B$2:$B$181,"McMaster University",'Analysis Data'!$I$2:$I$181,$A11)</f>
        <v>2</v>
      </c>
      <c r="D11">
        <f>COUNTIFS('Analysis Data'!$B$2:$B$181,"York University",'Analysis Data'!$I$2:$I$181,$A11)</f>
        <v>1</v>
      </c>
      <c r="E11">
        <f>COUNTIFS('Analysis Data'!$B$2:$B$181,"Toronto Metropolitan University",'Analysis Data'!$I$2:$I$181,$A11)</f>
        <v>1</v>
      </c>
      <c r="F11">
        <f>COUNTIFS('Analysis Data'!$B$2:$B$181,"University of Waterloo",'Analysis Data'!$I$2:$I$181,$A11)</f>
        <v>0</v>
      </c>
      <c r="G11">
        <f t="shared" si="0"/>
        <v>9</v>
      </c>
      <c r="H11" s="19">
        <f t="shared" si="1"/>
        <v>0.05</v>
      </c>
    </row>
    <row r="12" spans="1:8" x14ac:dyDescent="0.3">
      <c r="A12" t="s">
        <v>39</v>
      </c>
      <c r="B12">
        <f>COUNTIFS('Analysis Data'!$B$2:$B$181,"University of Toronto",'Analysis Data'!$I$2:$I$181,$A12)</f>
        <v>1</v>
      </c>
      <c r="C12">
        <f>COUNTIFS('Analysis Data'!$B$2:$B$181,"McMaster University",'Analysis Data'!$I$2:$I$181,$A12)</f>
        <v>1</v>
      </c>
      <c r="D12">
        <f>COUNTIFS('Analysis Data'!$B$2:$B$181,"York University",'Analysis Data'!$I$2:$I$181,$A12)</f>
        <v>0</v>
      </c>
      <c r="E12">
        <f>COUNTIFS('Analysis Data'!$B$2:$B$181,"Toronto Metropolitan University",'Analysis Data'!$I$2:$I$181,$A12)</f>
        <v>3</v>
      </c>
      <c r="F12">
        <f>COUNTIFS('Analysis Data'!$B$2:$B$181,"University of Waterloo",'Analysis Data'!$I$2:$I$181,$A12)</f>
        <v>4</v>
      </c>
      <c r="G12">
        <f t="shared" si="0"/>
        <v>9</v>
      </c>
      <c r="H12" s="19">
        <f t="shared" si="1"/>
        <v>0.05</v>
      </c>
    </row>
    <row r="13" spans="1:8" x14ac:dyDescent="0.3">
      <c r="A13" t="s">
        <v>120</v>
      </c>
      <c r="B13">
        <f>COUNTIFS('Analysis Data'!$B$2:$B$181,"University of Toronto",'Analysis Data'!$I$2:$I$181,$A13)</f>
        <v>2</v>
      </c>
      <c r="C13">
        <f>COUNTIFS('Analysis Data'!$B$2:$B$181,"McMaster University",'Analysis Data'!$I$2:$I$181,$A13)</f>
        <v>1</v>
      </c>
      <c r="D13">
        <f>COUNTIFS('Analysis Data'!$B$2:$B$181,"York University",'Analysis Data'!$I$2:$I$181,$A13)</f>
        <v>2</v>
      </c>
      <c r="E13">
        <f>COUNTIFS('Analysis Data'!$B$2:$B$181,"Toronto Metropolitan University",'Analysis Data'!$I$2:$I$181,$A13)</f>
        <v>3</v>
      </c>
      <c r="F13">
        <f>COUNTIFS('Analysis Data'!$B$2:$B$181,"University of Waterloo",'Analysis Data'!$I$2:$I$181,$A13)</f>
        <v>0</v>
      </c>
      <c r="G13">
        <f t="shared" si="0"/>
        <v>8</v>
      </c>
      <c r="H13" s="19">
        <f t="shared" si="1"/>
        <v>4.4444444444444446E-2</v>
      </c>
    </row>
    <row r="14" spans="1:8" x14ac:dyDescent="0.3">
      <c r="A14" t="s">
        <v>101</v>
      </c>
      <c r="B14">
        <f>COUNTIFS('Analysis Data'!$B$2:$B$181,"University of Toronto",'Analysis Data'!$I$2:$I$181,$A14)</f>
        <v>0</v>
      </c>
      <c r="C14">
        <f>COUNTIFS('Analysis Data'!$B$2:$B$181,"McMaster University",'Analysis Data'!$I$2:$I$181,$A14)</f>
        <v>3</v>
      </c>
      <c r="D14">
        <f>COUNTIFS('Analysis Data'!$B$2:$B$181,"York University",'Analysis Data'!$I$2:$I$181,$A14)</f>
        <v>2</v>
      </c>
      <c r="E14">
        <f>COUNTIFS('Analysis Data'!$B$2:$B$181,"Toronto Metropolitan University",'Analysis Data'!$I$2:$I$181,$A14)</f>
        <v>0</v>
      </c>
      <c r="F14">
        <f>COUNTIFS('Analysis Data'!$B$2:$B$181,"University of Waterloo",'Analysis Data'!$I$2:$I$181,$A14)</f>
        <v>2</v>
      </c>
      <c r="G14">
        <f t="shared" si="0"/>
        <v>7</v>
      </c>
      <c r="H14" s="19">
        <f t="shared" si="1"/>
        <v>3.888888888888889E-2</v>
      </c>
    </row>
    <row r="15" spans="1:8" x14ac:dyDescent="0.3">
      <c r="A15" t="s">
        <v>48</v>
      </c>
      <c r="B15">
        <f>COUNTIFS('Analysis Data'!$B$2:$B$181,"University of Toronto",'Analysis Data'!$I$2:$I$181,$A15)</f>
        <v>3</v>
      </c>
      <c r="C15">
        <f>COUNTIFS('Analysis Data'!$B$2:$B$181,"McMaster University",'Analysis Data'!$I$2:$I$181,$A15)</f>
        <v>0</v>
      </c>
      <c r="D15">
        <f>COUNTIFS('Analysis Data'!$B$2:$B$181,"York University",'Analysis Data'!$I$2:$I$181,$A15)</f>
        <v>2</v>
      </c>
      <c r="E15">
        <f>COUNTIFS('Analysis Data'!$B$2:$B$181,"Toronto Metropolitan University",'Analysis Data'!$I$2:$I$181,$A15)</f>
        <v>0</v>
      </c>
      <c r="F15">
        <f>COUNTIFS('Analysis Data'!$B$2:$B$181,"University of Waterloo",'Analysis Data'!$I$2:$I$181,$A15)</f>
        <v>0</v>
      </c>
      <c r="G15">
        <f t="shared" si="0"/>
        <v>5</v>
      </c>
      <c r="H15" s="19">
        <f t="shared" si="1"/>
        <v>2.7777777777777776E-2</v>
      </c>
    </row>
    <row r="16" spans="1:8" x14ac:dyDescent="0.3">
      <c r="A16" t="s">
        <v>34</v>
      </c>
      <c r="B16">
        <f>COUNTIFS('Analysis Data'!$B$2:$B$181,"University of Toronto",'Analysis Data'!$I$2:$I$181,$A16)</f>
        <v>2</v>
      </c>
      <c r="C16">
        <f>COUNTIFS('Analysis Data'!$B$2:$B$181,"McMaster University",'Analysis Data'!$I$2:$I$181,$A16)</f>
        <v>0</v>
      </c>
      <c r="D16">
        <f>COUNTIFS('Analysis Data'!$B$2:$B$181,"York University",'Analysis Data'!$I$2:$I$181,$A16)</f>
        <v>1</v>
      </c>
      <c r="E16">
        <f>COUNTIFS('Analysis Data'!$B$2:$B$181,"Toronto Metropolitan University",'Analysis Data'!$I$2:$I$181,$A16)</f>
        <v>0</v>
      </c>
      <c r="F16">
        <f>COUNTIFS('Analysis Data'!$B$2:$B$181,"University of Waterloo",'Analysis Data'!$I$2:$I$181,$A16)</f>
        <v>1</v>
      </c>
      <c r="G16">
        <f t="shared" si="0"/>
        <v>4</v>
      </c>
      <c r="H16" s="19">
        <f t="shared" si="1"/>
        <v>2.2222222222222223E-2</v>
      </c>
    </row>
    <row r="17" spans="1:8" x14ac:dyDescent="0.3">
      <c r="A17" t="s">
        <v>162</v>
      </c>
      <c r="B17">
        <f>COUNTIFS('Analysis Data'!$B$2:$B$181,"University of Toronto",'Analysis Data'!$I$2:$I$181,$A17)</f>
        <v>0</v>
      </c>
      <c r="C17">
        <f>COUNTIFS('Analysis Data'!$B$2:$B$181,"McMaster University",'Analysis Data'!$I$2:$I$181,$A17)</f>
        <v>1</v>
      </c>
      <c r="D17">
        <f>COUNTIFS('Analysis Data'!$B$2:$B$181,"York University",'Analysis Data'!$I$2:$I$181,$A17)</f>
        <v>0</v>
      </c>
      <c r="E17">
        <f>COUNTIFS('Analysis Data'!$B$2:$B$181,"Toronto Metropolitan University",'Analysis Data'!$I$2:$I$181,$A17)</f>
        <v>1</v>
      </c>
      <c r="F17">
        <f>COUNTIFS('Analysis Data'!$B$2:$B$181,"University of Waterloo",'Analysis Data'!$I$2:$I$181,$A17)</f>
        <v>0</v>
      </c>
      <c r="G17">
        <f t="shared" si="0"/>
        <v>2</v>
      </c>
      <c r="H17" s="19">
        <f t="shared" si="1"/>
        <v>1.1111111111111112E-2</v>
      </c>
    </row>
    <row r="18" spans="1:8" x14ac:dyDescent="0.3">
      <c r="A18" t="s">
        <v>61</v>
      </c>
      <c r="B18">
        <f>COUNTIFS('Analysis Data'!$B$2:$B$181,"University of Toronto",'Analysis Data'!$I$2:$I$181,$A18)</f>
        <v>1</v>
      </c>
      <c r="C18">
        <f>COUNTIFS('Analysis Data'!$B$2:$B$181,"McMaster University",'Analysis Data'!$I$2:$I$181,$A18)</f>
        <v>0</v>
      </c>
      <c r="D18">
        <f>COUNTIFS('Analysis Data'!$B$2:$B$181,"York University",'Analysis Data'!$I$2:$I$181,$A18)</f>
        <v>0</v>
      </c>
      <c r="E18">
        <f>COUNTIFS('Analysis Data'!$B$2:$B$181,"Toronto Metropolitan University",'Analysis Data'!$I$2:$I$181,$A18)</f>
        <v>0</v>
      </c>
      <c r="F18">
        <f>COUNTIFS('Analysis Data'!$B$2:$B$181,"University of Waterloo",'Analysis Data'!$I$2:$I$181,$A18)</f>
        <v>0</v>
      </c>
      <c r="G18">
        <f t="shared" si="0"/>
        <v>1</v>
      </c>
      <c r="H18" s="19">
        <f t="shared" si="1"/>
        <v>5.5555555555555558E-3</v>
      </c>
    </row>
    <row r="19" spans="1:8" x14ac:dyDescent="0.3">
      <c r="A19" t="s">
        <v>124</v>
      </c>
      <c r="B19">
        <f>COUNTIFS('Analysis Data'!$B$2:$B$181,"University of Toronto",'Analysis Data'!$I$2:$I$181,$A19)</f>
        <v>0</v>
      </c>
      <c r="C19">
        <f>COUNTIFS('Analysis Data'!$B$2:$B$181,"McMaster University",'Analysis Data'!$I$2:$I$181,$A19)</f>
        <v>1</v>
      </c>
      <c r="D19">
        <f>COUNTIFS('Analysis Data'!$B$2:$B$181,"York University",'Analysis Data'!$I$2:$I$181,$A19)</f>
        <v>0</v>
      </c>
      <c r="E19">
        <f>COUNTIFS('Analysis Data'!$B$2:$B$181,"Toronto Metropolitan University",'Analysis Data'!$I$2:$I$181,$A19)</f>
        <v>0</v>
      </c>
      <c r="F19">
        <f>COUNTIFS('Analysis Data'!$B$2:$B$181,"University of Waterloo",'Analysis Data'!$I$2:$I$181,$A19)</f>
        <v>0</v>
      </c>
      <c r="G19">
        <f t="shared" si="0"/>
        <v>1</v>
      </c>
      <c r="H19" s="19">
        <f t="shared" si="1"/>
        <v>5.5555555555555558E-3</v>
      </c>
    </row>
    <row r="20" spans="1:8" x14ac:dyDescent="0.3">
      <c r="A20" s="20" t="s">
        <v>647</v>
      </c>
      <c r="B20" s="20">
        <v>36</v>
      </c>
      <c r="C20" s="20">
        <v>36</v>
      </c>
      <c r="D20" s="20">
        <v>36</v>
      </c>
      <c r="E20" s="20">
        <v>36</v>
      </c>
      <c r="F20" s="20">
        <v>36</v>
      </c>
      <c r="G20" s="20">
        <v>180</v>
      </c>
      <c r="H20" s="21">
        <v>1</v>
      </c>
    </row>
    <row r="23" spans="1:8" x14ac:dyDescent="0.3">
      <c r="A23" s="13" t="s">
        <v>649</v>
      </c>
      <c r="B23" s="13" t="s">
        <v>624</v>
      </c>
      <c r="C23" s="13" t="s">
        <v>627</v>
      </c>
      <c r="D23" s="13" t="s">
        <v>630</v>
      </c>
      <c r="E23" s="13" t="s">
        <v>633</v>
      </c>
      <c r="F23" s="13" t="s">
        <v>639</v>
      </c>
      <c r="G23" s="13" t="s">
        <v>647</v>
      </c>
    </row>
    <row r="24" spans="1:8" x14ac:dyDescent="0.3">
      <c r="A24" t="s">
        <v>615</v>
      </c>
      <c r="B24">
        <f>COUNTIFS('Analysis Data'!$B$2:$B$181,"University of Toronto",'Analysis Data'!$P$2:$P$181,$A24)</f>
        <v>19</v>
      </c>
      <c r="C24">
        <f>COUNTIFS('Analysis Data'!$B$2:$B$181,"McMaster University",'Analysis Data'!$P$2:$P$181,$A24)</f>
        <v>20</v>
      </c>
      <c r="D24">
        <f>COUNTIFS('Analysis Data'!$B$2:$B$181,"York University",'Analysis Data'!$P$2:$P$181,$A24)</f>
        <v>28</v>
      </c>
      <c r="E24">
        <f>COUNTIFS('Analysis Data'!$B$2:$B$181,"Toronto Metropolitan University",'Analysis Data'!$P$2:$P$181,$A24)</f>
        <v>20</v>
      </c>
      <c r="F24">
        <f>COUNTIFS('Analysis Data'!$B$2:$B$181,"University of Waterloo",'Analysis Data'!$P$2:$P$181,$A24)</f>
        <v>16</v>
      </c>
      <c r="G24">
        <f>SUM(B24:F24)</f>
        <v>103</v>
      </c>
    </row>
    <row r="25" spans="1:8" x14ac:dyDescent="0.3">
      <c r="A25" t="s">
        <v>616</v>
      </c>
      <c r="B25">
        <f>COUNTIFS('Analysis Data'!$B$2:$B$181,"University of Toronto",'Analysis Data'!$P$2:$P$181,$A25)</f>
        <v>7</v>
      </c>
      <c r="C25">
        <f>COUNTIFS('Analysis Data'!$B$2:$B$181,"McMaster University",'Analysis Data'!$P$2:$P$181,$A25)</f>
        <v>7</v>
      </c>
      <c r="D25">
        <f>COUNTIFS('Analysis Data'!$B$2:$B$181,"York University",'Analysis Data'!$P$2:$P$181,$A25)</f>
        <v>5</v>
      </c>
      <c r="E25">
        <f>COUNTIFS('Analysis Data'!$B$2:$B$181,"Toronto Metropolitan University",'Analysis Data'!$P$2:$P$181,$A25)</f>
        <v>11</v>
      </c>
      <c r="F25">
        <f>COUNTIFS('Analysis Data'!$B$2:$B$181,"University of Waterloo",'Analysis Data'!$P$2:$P$181,$A25)</f>
        <v>8</v>
      </c>
      <c r="G25">
        <f>SUM(B25:F25)</f>
        <v>38</v>
      </c>
    </row>
    <row r="26" spans="1:8" x14ac:dyDescent="0.3">
      <c r="A26" t="s">
        <v>617</v>
      </c>
      <c r="B26">
        <f>COUNTIFS('Analysis Data'!$B$2:$B$181,"University of Toronto",'Analysis Data'!$P$2:$P$181,$A26)</f>
        <v>5</v>
      </c>
      <c r="C26">
        <f>COUNTIFS('Analysis Data'!$B$2:$B$181,"McMaster University",'Analysis Data'!$P$2:$P$181,$A26)</f>
        <v>5</v>
      </c>
      <c r="D26">
        <f>COUNTIFS('Analysis Data'!$B$2:$B$181,"York University",'Analysis Data'!$P$2:$P$181,$A26)</f>
        <v>3</v>
      </c>
      <c r="E26">
        <f>COUNTIFS('Analysis Data'!$B$2:$B$181,"Toronto Metropolitan University",'Analysis Data'!$P$2:$P$181,$A26)</f>
        <v>1</v>
      </c>
      <c r="F26">
        <f>COUNTIFS('Analysis Data'!$B$2:$B$181,"University of Waterloo",'Analysis Data'!$P$2:$P$181,$A26)</f>
        <v>2</v>
      </c>
      <c r="G26">
        <f>SUM(B26:F26)</f>
        <v>16</v>
      </c>
    </row>
    <row r="27" spans="1:8" x14ac:dyDescent="0.3">
      <c r="A27" t="s">
        <v>650</v>
      </c>
      <c r="B27">
        <f>COUNTIFS('Analysis Data'!$B$2:$B$181,"University of Toronto",'Analysis Data'!$P$2:$P$181,$A27)</f>
        <v>4</v>
      </c>
      <c r="C27">
        <f>COUNTIFS('Analysis Data'!$B$2:$B$181,"McMaster University",'Analysis Data'!$P$2:$P$181,$A27)</f>
        <v>3</v>
      </c>
      <c r="D27">
        <f>COUNTIFS('Analysis Data'!$B$2:$B$181,"York University",'Analysis Data'!$P$2:$P$181,$A27)</f>
        <v>0</v>
      </c>
      <c r="E27">
        <f>COUNTIFS('Analysis Data'!$B$2:$B$181,"Toronto Metropolitan University",'Analysis Data'!$P$2:$P$181,$A27)</f>
        <v>1</v>
      </c>
      <c r="F27">
        <f>COUNTIFS('Analysis Data'!$B$2:$B$181,"University of Waterloo",'Analysis Data'!$P$2:$P$181,$A27)</f>
        <v>6</v>
      </c>
      <c r="G27">
        <f>SUM(B27:F27)</f>
        <v>14</v>
      </c>
    </row>
    <row r="28" spans="1:8" x14ac:dyDescent="0.3">
      <c r="A28" t="s">
        <v>39</v>
      </c>
      <c r="B28">
        <f>COUNTIFS('Analysis Data'!$B$2:$B$181,"University of Toronto",'Analysis Data'!$P$2:$P$181,$A28)</f>
        <v>1</v>
      </c>
      <c r="C28">
        <f>COUNTIFS('Analysis Data'!$B$2:$B$181,"McMaster University",'Analysis Data'!$P$2:$P$181,$A28)</f>
        <v>1</v>
      </c>
      <c r="D28">
        <f>COUNTIFS('Analysis Data'!$B$2:$B$181,"York University",'Analysis Data'!$P$2:$P$181,$A28)</f>
        <v>0</v>
      </c>
      <c r="E28">
        <f>COUNTIFS('Analysis Data'!$B$2:$B$181,"Toronto Metropolitan University",'Analysis Data'!$P$2:$P$181,$A28)</f>
        <v>3</v>
      </c>
      <c r="F28">
        <f>COUNTIFS('Analysis Data'!$B$2:$B$181,"University of Waterloo",'Analysis Data'!$P$2:$P$181,$A28)</f>
        <v>4</v>
      </c>
      <c r="G28">
        <f>SUM(B28:F28)</f>
        <v>9</v>
      </c>
    </row>
    <row r="31" spans="1:8" x14ac:dyDescent="0.3">
      <c r="A31" s="29" t="s">
        <v>651</v>
      </c>
      <c r="B31" s="29"/>
      <c r="C31" s="29"/>
      <c r="D31" s="29"/>
      <c r="E31" s="29"/>
      <c r="F31" s="29"/>
      <c r="G31" s="29"/>
      <c r="H31" s="29"/>
    </row>
    <row r="32" spans="1:8" x14ac:dyDescent="0.3">
      <c r="A32" s="36" t="s">
        <v>652</v>
      </c>
      <c r="B32" s="36"/>
      <c r="C32" s="36"/>
      <c r="D32" s="36"/>
      <c r="E32" s="36"/>
      <c r="F32" s="36"/>
      <c r="G32" s="36"/>
      <c r="H32" s="36"/>
    </row>
    <row r="33" spans="1:8" x14ac:dyDescent="0.3">
      <c r="A33" s="36"/>
      <c r="B33" s="36"/>
      <c r="C33" s="36"/>
      <c r="D33" s="36"/>
      <c r="E33" s="36"/>
      <c r="F33" s="36"/>
      <c r="G33" s="36"/>
      <c r="H33" s="36"/>
    </row>
    <row r="34" spans="1:8" x14ac:dyDescent="0.3">
      <c r="A34" s="36"/>
      <c r="B34" s="36"/>
      <c r="C34" s="36"/>
      <c r="D34" s="36"/>
      <c r="E34" s="36"/>
      <c r="F34" s="36"/>
      <c r="G34" s="36"/>
      <c r="H34" s="36"/>
    </row>
    <row r="35" spans="1:8" x14ac:dyDescent="0.3">
      <c r="A35" s="36"/>
      <c r="B35" s="36"/>
      <c r="C35" s="36"/>
      <c r="D35" s="36"/>
      <c r="E35" s="36"/>
      <c r="F35" s="36"/>
      <c r="G35" s="36"/>
      <c r="H35" s="36"/>
    </row>
    <row r="36" spans="1:8" x14ac:dyDescent="0.3">
      <c r="A36" s="36"/>
      <c r="B36" s="36"/>
      <c r="C36" s="36"/>
      <c r="D36" s="36"/>
      <c r="E36" s="36"/>
      <c r="F36" s="36"/>
      <c r="G36" s="36"/>
      <c r="H36" s="36"/>
    </row>
    <row r="37" spans="1:8" x14ac:dyDescent="0.3">
      <c r="A37" s="36"/>
      <c r="B37" s="36"/>
      <c r="C37" s="36"/>
      <c r="D37" s="36"/>
      <c r="E37" s="36"/>
      <c r="F37" s="36"/>
      <c r="G37" s="36"/>
      <c r="H37" s="36"/>
    </row>
    <row r="38" spans="1:8" x14ac:dyDescent="0.3">
      <c r="A38" s="36"/>
      <c r="B38" s="36"/>
      <c r="C38" s="36"/>
      <c r="D38" s="36"/>
      <c r="E38" s="36"/>
      <c r="F38" s="36"/>
      <c r="G38" s="36"/>
      <c r="H38" s="36"/>
    </row>
  </sheetData>
  <mergeCells count="3">
    <mergeCell ref="A1:H2"/>
    <mergeCell ref="A31:H31"/>
    <mergeCell ref="A32:H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4"/>
  <sheetViews>
    <sheetView topLeftCell="A16" workbookViewId="0">
      <selection activeCell="A24" sqref="A24:D34"/>
    </sheetView>
  </sheetViews>
  <sheetFormatPr defaultRowHeight="14.4" x14ac:dyDescent="0.3"/>
  <cols>
    <col min="1" max="1" width="24.77734375" customWidth="1"/>
    <col min="2" max="2" width="20.77734375" customWidth="1"/>
    <col min="3" max="3" width="9.109375" customWidth="1"/>
    <col min="4" max="8" width="14" customWidth="1"/>
  </cols>
  <sheetData>
    <row r="1" spans="1:8" ht="19.2" customHeight="1" x14ac:dyDescent="0.3">
      <c r="A1" s="35" t="s">
        <v>653</v>
      </c>
      <c r="B1" s="35"/>
      <c r="C1" s="35"/>
      <c r="D1" s="35"/>
      <c r="E1" s="35"/>
      <c r="F1" s="35"/>
      <c r="G1" s="35"/>
      <c r="H1" s="35"/>
    </row>
    <row r="2" spans="1:8" ht="19.2" customHeight="1" x14ac:dyDescent="0.3">
      <c r="A2" s="35"/>
      <c r="B2" s="35"/>
      <c r="C2" s="35"/>
      <c r="D2" s="35"/>
      <c r="E2" s="35"/>
      <c r="F2" s="35"/>
      <c r="G2" s="35"/>
      <c r="H2" s="35"/>
    </row>
    <row r="4" spans="1:8" x14ac:dyDescent="0.3">
      <c r="A4" s="13" t="s">
        <v>9</v>
      </c>
      <c r="B4" s="13" t="s">
        <v>624</v>
      </c>
      <c r="C4" s="13" t="s">
        <v>627</v>
      </c>
      <c r="D4" s="13" t="s">
        <v>630</v>
      </c>
      <c r="E4" s="13" t="s">
        <v>633</v>
      </c>
      <c r="F4" s="13" t="s">
        <v>639</v>
      </c>
      <c r="G4" s="13" t="s">
        <v>647</v>
      </c>
      <c r="H4" s="13" t="s">
        <v>648</v>
      </c>
    </row>
    <row r="5" spans="1:8" x14ac:dyDescent="0.3">
      <c r="A5" t="s">
        <v>20</v>
      </c>
      <c r="B5">
        <f>COUNTIFS('Analysis Data'!$B$2:$B$181,"University of Toronto",'Analysis Data'!$J$2:$J$181,$A5)</f>
        <v>6</v>
      </c>
      <c r="C5">
        <f>COUNTIFS('Analysis Data'!$B$2:$B$181,"McMaster University",'Analysis Data'!$J$2:$J$181,$A5)</f>
        <v>10</v>
      </c>
      <c r="D5">
        <f>COUNTIFS('Analysis Data'!$B$2:$B$181,"York University",'Analysis Data'!$J$2:$J$181,$A5)</f>
        <v>9</v>
      </c>
      <c r="E5">
        <f>COUNTIFS('Analysis Data'!$B$2:$B$181,"Toronto Metropolitan University",'Analysis Data'!$J$2:$J$181,$A5)</f>
        <v>8</v>
      </c>
      <c r="F5">
        <f>COUNTIFS('Analysis Data'!$B$2:$B$181,"University of Waterloo",'Analysis Data'!$J$2:$J$181,$A5)</f>
        <v>3</v>
      </c>
      <c r="G5">
        <f t="shared" ref="G5:G20" si="0">SUM(B5:F5)</f>
        <v>36</v>
      </c>
      <c r="H5" s="19">
        <f t="shared" ref="H5:H20" si="1">G5/180</f>
        <v>0.2</v>
      </c>
    </row>
    <row r="6" spans="1:8" x14ac:dyDescent="0.3">
      <c r="A6" t="s">
        <v>21</v>
      </c>
      <c r="B6">
        <f>COUNTIFS('Analysis Data'!$B$2:$B$181,"University of Toronto",'Analysis Data'!$J$2:$J$181,$A6)</f>
        <v>6</v>
      </c>
      <c r="C6">
        <f>COUNTIFS('Analysis Data'!$B$2:$B$181,"McMaster University",'Analysis Data'!$J$2:$J$181,$A6)</f>
        <v>4</v>
      </c>
      <c r="D6">
        <f>COUNTIFS('Analysis Data'!$B$2:$B$181,"York University",'Analysis Data'!$J$2:$J$181,$A6)</f>
        <v>7</v>
      </c>
      <c r="E6">
        <f>COUNTIFS('Analysis Data'!$B$2:$B$181,"Toronto Metropolitan University",'Analysis Data'!$J$2:$J$181,$A6)</f>
        <v>6</v>
      </c>
      <c r="F6">
        <f>COUNTIFS('Analysis Data'!$B$2:$B$181,"University of Waterloo",'Analysis Data'!$J$2:$J$181,$A6)</f>
        <v>5</v>
      </c>
      <c r="G6">
        <f t="shared" si="0"/>
        <v>28</v>
      </c>
      <c r="H6" s="19">
        <f t="shared" si="1"/>
        <v>0.15555555555555556</v>
      </c>
    </row>
    <row r="7" spans="1:8" x14ac:dyDescent="0.3">
      <c r="A7" t="s">
        <v>28</v>
      </c>
      <c r="B7">
        <f>COUNTIFS('Analysis Data'!$B$2:$B$181,"University of Toronto",'Analysis Data'!$J$2:$J$181,$A7)</f>
        <v>4</v>
      </c>
      <c r="C7">
        <f>COUNTIFS('Analysis Data'!$B$2:$B$181,"McMaster University",'Analysis Data'!$J$2:$J$181,$A7)</f>
        <v>6</v>
      </c>
      <c r="D7">
        <f>COUNTIFS('Analysis Data'!$B$2:$B$181,"York University",'Analysis Data'!$J$2:$J$181,$A7)</f>
        <v>4</v>
      </c>
      <c r="E7">
        <f>COUNTIFS('Analysis Data'!$B$2:$B$181,"Toronto Metropolitan University",'Analysis Data'!$J$2:$J$181,$A7)</f>
        <v>6</v>
      </c>
      <c r="F7">
        <f>COUNTIFS('Analysis Data'!$B$2:$B$181,"University of Waterloo",'Analysis Data'!$J$2:$J$181,$A7)</f>
        <v>7</v>
      </c>
      <c r="G7">
        <f t="shared" si="0"/>
        <v>27</v>
      </c>
      <c r="H7" s="19">
        <f t="shared" si="1"/>
        <v>0.15</v>
      </c>
    </row>
    <row r="8" spans="1:8" x14ac:dyDescent="0.3">
      <c r="A8" t="s">
        <v>34</v>
      </c>
      <c r="B8">
        <f>COUNTIFS('Analysis Data'!$B$2:$B$181,"University of Toronto",'Analysis Data'!$J$2:$J$181,$A8)</f>
        <v>2</v>
      </c>
      <c r="C8">
        <f>COUNTIFS('Analysis Data'!$B$2:$B$181,"McMaster University",'Analysis Data'!$J$2:$J$181,$A8)</f>
        <v>5</v>
      </c>
      <c r="D8">
        <f>COUNTIFS('Analysis Data'!$B$2:$B$181,"York University",'Analysis Data'!$J$2:$J$181,$A8)</f>
        <v>3</v>
      </c>
      <c r="E8">
        <f>COUNTIFS('Analysis Data'!$B$2:$B$181,"Toronto Metropolitan University",'Analysis Data'!$J$2:$J$181,$A8)</f>
        <v>2</v>
      </c>
      <c r="F8">
        <f>COUNTIFS('Analysis Data'!$B$2:$B$181,"University of Waterloo",'Analysis Data'!$J$2:$J$181,$A8)</f>
        <v>2</v>
      </c>
      <c r="G8">
        <f t="shared" si="0"/>
        <v>14</v>
      </c>
      <c r="H8" s="19">
        <f t="shared" si="1"/>
        <v>7.7777777777777779E-2</v>
      </c>
    </row>
    <row r="9" spans="1:8" x14ac:dyDescent="0.3">
      <c r="A9" t="s">
        <v>39</v>
      </c>
      <c r="B9">
        <f>COUNTIFS('Analysis Data'!$B$2:$B$181,"University of Toronto",'Analysis Data'!$J$2:$J$181,$A9)</f>
        <v>3</v>
      </c>
      <c r="C9">
        <f>COUNTIFS('Analysis Data'!$B$2:$B$181,"McMaster University",'Analysis Data'!$J$2:$J$181,$A9)</f>
        <v>2</v>
      </c>
      <c r="D9">
        <f>COUNTIFS('Analysis Data'!$B$2:$B$181,"York University",'Analysis Data'!$J$2:$J$181,$A9)</f>
        <v>0</v>
      </c>
      <c r="E9">
        <f>COUNTIFS('Analysis Data'!$B$2:$B$181,"Toronto Metropolitan University",'Analysis Data'!$J$2:$J$181,$A9)</f>
        <v>0</v>
      </c>
      <c r="F9">
        <f>COUNTIFS('Analysis Data'!$B$2:$B$181,"University of Waterloo",'Analysis Data'!$J$2:$J$181,$A9)</f>
        <v>8</v>
      </c>
      <c r="G9">
        <f t="shared" si="0"/>
        <v>13</v>
      </c>
      <c r="H9" s="19">
        <f t="shared" si="1"/>
        <v>7.2222222222222215E-2</v>
      </c>
    </row>
    <row r="10" spans="1:8" x14ac:dyDescent="0.3">
      <c r="A10" t="s">
        <v>101</v>
      </c>
      <c r="B10">
        <f>COUNTIFS('Analysis Data'!$B$2:$B$181,"University of Toronto",'Analysis Data'!$J$2:$J$181,$A10)</f>
        <v>2</v>
      </c>
      <c r="C10">
        <f>COUNTIFS('Analysis Data'!$B$2:$B$181,"McMaster University",'Analysis Data'!$J$2:$J$181,$A10)</f>
        <v>3</v>
      </c>
      <c r="D10">
        <f>COUNTIFS('Analysis Data'!$B$2:$B$181,"York University",'Analysis Data'!$J$2:$J$181,$A10)</f>
        <v>1</v>
      </c>
      <c r="E10">
        <f>COUNTIFS('Analysis Data'!$B$2:$B$181,"Toronto Metropolitan University",'Analysis Data'!$J$2:$J$181,$A10)</f>
        <v>2</v>
      </c>
      <c r="F10">
        <f>COUNTIFS('Analysis Data'!$B$2:$B$181,"University of Waterloo",'Analysis Data'!$J$2:$J$181,$A10)</f>
        <v>3</v>
      </c>
      <c r="G10">
        <f t="shared" si="0"/>
        <v>11</v>
      </c>
      <c r="H10" s="19">
        <f t="shared" si="1"/>
        <v>6.1111111111111109E-2</v>
      </c>
    </row>
    <row r="11" spans="1:8" x14ac:dyDescent="0.3">
      <c r="A11" t="s">
        <v>124</v>
      </c>
      <c r="B11">
        <f>COUNTIFS('Analysis Data'!$B$2:$B$181,"University of Toronto",'Analysis Data'!$J$2:$J$181,$A11)</f>
        <v>3</v>
      </c>
      <c r="C11">
        <f>COUNTIFS('Analysis Data'!$B$2:$B$181,"McMaster University",'Analysis Data'!$J$2:$J$181,$A11)</f>
        <v>2</v>
      </c>
      <c r="D11">
        <f>COUNTIFS('Analysis Data'!$B$2:$B$181,"York University",'Analysis Data'!$J$2:$J$181,$A11)</f>
        <v>2</v>
      </c>
      <c r="E11">
        <f>COUNTIFS('Analysis Data'!$B$2:$B$181,"Toronto Metropolitan University",'Analysis Data'!$J$2:$J$181,$A11)</f>
        <v>3</v>
      </c>
      <c r="F11">
        <f>COUNTIFS('Analysis Data'!$B$2:$B$181,"University of Waterloo",'Analysis Data'!$J$2:$J$181,$A11)</f>
        <v>1</v>
      </c>
      <c r="G11">
        <f t="shared" si="0"/>
        <v>11</v>
      </c>
      <c r="H11" s="19">
        <f t="shared" si="1"/>
        <v>6.1111111111111109E-2</v>
      </c>
    </row>
    <row r="12" spans="1:8" x14ac:dyDescent="0.3">
      <c r="A12" t="s">
        <v>60</v>
      </c>
      <c r="B12">
        <f>COUNTIFS('Analysis Data'!$B$2:$B$181,"University of Toronto",'Analysis Data'!$J$2:$J$181,$A12)</f>
        <v>1</v>
      </c>
      <c r="C12">
        <f>COUNTIFS('Analysis Data'!$B$2:$B$181,"McMaster University",'Analysis Data'!$J$2:$J$181,$A12)</f>
        <v>1</v>
      </c>
      <c r="D12">
        <f>COUNTIFS('Analysis Data'!$B$2:$B$181,"York University",'Analysis Data'!$J$2:$J$181,$A12)</f>
        <v>2</v>
      </c>
      <c r="E12">
        <f>COUNTIFS('Analysis Data'!$B$2:$B$181,"Toronto Metropolitan University",'Analysis Data'!$J$2:$J$181,$A12)</f>
        <v>1</v>
      </c>
      <c r="F12">
        <f>COUNTIFS('Analysis Data'!$B$2:$B$181,"University of Waterloo",'Analysis Data'!$J$2:$J$181,$A12)</f>
        <v>2</v>
      </c>
      <c r="G12">
        <f t="shared" si="0"/>
        <v>7</v>
      </c>
      <c r="H12" s="19">
        <f t="shared" si="1"/>
        <v>3.888888888888889E-2</v>
      </c>
    </row>
    <row r="13" spans="1:8" x14ac:dyDescent="0.3">
      <c r="A13" t="s">
        <v>27</v>
      </c>
      <c r="B13">
        <f>COUNTIFS('Analysis Data'!$B$2:$B$181,"University of Toronto",'Analysis Data'!$J$2:$J$181,$A13)</f>
        <v>2</v>
      </c>
      <c r="C13">
        <f>COUNTIFS('Analysis Data'!$B$2:$B$181,"McMaster University",'Analysis Data'!$J$2:$J$181,$A13)</f>
        <v>0</v>
      </c>
      <c r="D13">
        <f>COUNTIFS('Analysis Data'!$B$2:$B$181,"York University",'Analysis Data'!$J$2:$J$181,$A13)</f>
        <v>2</v>
      </c>
      <c r="E13">
        <f>COUNTIFS('Analysis Data'!$B$2:$B$181,"Toronto Metropolitan University",'Analysis Data'!$J$2:$J$181,$A13)</f>
        <v>1</v>
      </c>
      <c r="F13">
        <f>COUNTIFS('Analysis Data'!$B$2:$B$181,"University of Waterloo",'Analysis Data'!$J$2:$J$181,$A13)</f>
        <v>0</v>
      </c>
      <c r="G13">
        <f t="shared" si="0"/>
        <v>5</v>
      </c>
      <c r="H13" s="19">
        <f t="shared" si="1"/>
        <v>2.7777777777777776E-2</v>
      </c>
    </row>
    <row r="14" spans="1:8" x14ac:dyDescent="0.3">
      <c r="A14" t="s">
        <v>61</v>
      </c>
      <c r="B14">
        <f>COUNTIFS('Analysis Data'!$B$2:$B$181,"University of Toronto",'Analysis Data'!$J$2:$J$181,$A14)</f>
        <v>1</v>
      </c>
      <c r="C14">
        <f>COUNTIFS('Analysis Data'!$B$2:$B$181,"McMaster University",'Analysis Data'!$J$2:$J$181,$A14)</f>
        <v>1</v>
      </c>
      <c r="D14">
        <f>COUNTIFS('Analysis Data'!$B$2:$B$181,"York University",'Analysis Data'!$J$2:$J$181,$A14)</f>
        <v>1</v>
      </c>
      <c r="E14">
        <f>COUNTIFS('Analysis Data'!$B$2:$B$181,"Toronto Metropolitan University",'Analysis Data'!$J$2:$J$181,$A14)</f>
        <v>2</v>
      </c>
      <c r="F14">
        <f>COUNTIFS('Analysis Data'!$B$2:$B$181,"University of Waterloo",'Analysis Data'!$J$2:$J$181,$A14)</f>
        <v>0</v>
      </c>
      <c r="G14">
        <f t="shared" si="0"/>
        <v>5</v>
      </c>
      <c r="H14" s="19">
        <f t="shared" si="1"/>
        <v>2.7777777777777776E-2</v>
      </c>
    </row>
    <row r="15" spans="1:8" x14ac:dyDescent="0.3">
      <c r="A15" t="s">
        <v>48</v>
      </c>
      <c r="B15">
        <f>COUNTIFS('Analysis Data'!$B$2:$B$181,"University of Toronto",'Analysis Data'!$J$2:$J$181,$A15)</f>
        <v>1</v>
      </c>
      <c r="C15">
        <f>COUNTIFS('Analysis Data'!$B$2:$B$181,"McMaster University",'Analysis Data'!$J$2:$J$181,$A15)</f>
        <v>0</v>
      </c>
      <c r="D15">
        <f>COUNTIFS('Analysis Data'!$B$2:$B$181,"York University",'Analysis Data'!$J$2:$J$181,$A15)</f>
        <v>2</v>
      </c>
      <c r="E15">
        <f>COUNTIFS('Analysis Data'!$B$2:$B$181,"Toronto Metropolitan University",'Analysis Data'!$J$2:$J$181,$A15)</f>
        <v>1</v>
      </c>
      <c r="F15">
        <f>COUNTIFS('Analysis Data'!$B$2:$B$181,"University of Waterloo",'Analysis Data'!$J$2:$J$181,$A15)</f>
        <v>1</v>
      </c>
      <c r="G15">
        <f t="shared" si="0"/>
        <v>5</v>
      </c>
      <c r="H15" s="19">
        <f t="shared" si="1"/>
        <v>2.7777777777777776E-2</v>
      </c>
    </row>
    <row r="16" spans="1:8" x14ac:dyDescent="0.3">
      <c r="A16" t="s">
        <v>70</v>
      </c>
      <c r="B16">
        <f>COUNTIFS('Analysis Data'!$B$2:$B$181,"University of Toronto",'Analysis Data'!$J$2:$J$181,$A16)</f>
        <v>2</v>
      </c>
      <c r="C16">
        <f>COUNTIFS('Analysis Data'!$B$2:$B$181,"McMaster University",'Analysis Data'!$J$2:$J$181,$A16)</f>
        <v>0</v>
      </c>
      <c r="D16">
        <f>COUNTIFS('Analysis Data'!$B$2:$B$181,"York University",'Analysis Data'!$J$2:$J$181,$A16)</f>
        <v>1</v>
      </c>
      <c r="E16">
        <f>COUNTIFS('Analysis Data'!$B$2:$B$181,"Toronto Metropolitan University",'Analysis Data'!$J$2:$J$181,$A16)</f>
        <v>1</v>
      </c>
      <c r="F16">
        <f>COUNTIFS('Analysis Data'!$B$2:$B$181,"University of Waterloo",'Analysis Data'!$J$2:$J$181,$A16)</f>
        <v>0</v>
      </c>
      <c r="G16">
        <f t="shared" si="0"/>
        <v>4</v>
      </c>
      <c r="H16" s="19">
        <f t="shared" si="1"/>
        <v>2.2222222222222223E-2</v>
      </c>
    </row>
    <row r="17" spans="1:8" x14ac:dyDescent="0.3">
      <c r="A17" t="s">
        <v>162</v>
      </c>
      <c r="B17">
        <f>COUNTIFS('Analysis Data'!$B$2:$B$181,"University of Toronto",'Analysis Data'!$J$2:$J$181,$A17)</f>
        <v>0</v>
      </c>
      <c r="C17">
        <f>COUNTIFS('Analysis Data'!$B$2:$B$181,"McMaster University",'Analysis Data'!$J$2:$J$181,$A17)</f>
        <v>0</v>
      </c>
      <c r="D17">
        <f>COUNTIFS('Analysis Data'!$B$2:$B$181,"York University",'Analysis Data'!$J$2:$J$181,$A17)</f>
        <v>2</v>
      </c>
      <c r="E17">
        <f>COUNTIFS('Analysis Data'!$B$2:$B$181,"Toronto Metropolitan University",'Analysis Data'!$J$2:$J$181,$A17)</f>
        <v>1</v>
      </c>
      <c r="F17">
        <f>COUNTIFS('Analysis Data'!$B$2:$B$181,"University of Waterloo",'Analysis Data'!$J$2:$J$181,$A17)</f>
        <v>1</v>
      </c>
      <c r="G17">
        <f t="shared" si="0"/>
        <v>4</v>
      </c>
      <c r="H17" s="19">
        <f t="shared" si="1"/>
        <v>2.2222222222222223E-2</v>
      </c>
    </row>
    <row r="18" spans="1:8" x14ac:dyDescent="0.3">
      <c r="A18" t="s">
        <v>120</v>
      </c>
      <c r="B18">
        <f>COUNTIFS('Analysis Data'!$B$2:$B$181,"University of Toronto",'Analysis Data'!$J$2:$J$181,$A18)</f>
        <v>0</v>
      </c>
      <c r="C18">
        <f>COUNTIFS('Analysis Data'!$B$2:$B$181,"McMaster University",'Analysis Data'!$J$2:$J$181,$A18)</f>
        <v>0</v>
      </c>
      <c r="D18">
        <f>COUNTIFS('Analysis Data'!$B$2:$B$181,"York University",'Analysis Data'!$J$2:$J$181,$A18)</f>
        <v>0</v>
      </c>
      <c r="E18">
        <f>COUNTIFS('Analysis Data'!$B$2:$B$181,"Toronto Metropolitan University",'Analysis Data'!$J$2:$J$181,$A18)</f>
        <v>1</v>
      </c>
      <c r="F18">
        <f>COUNTIFS('Analysis Data'!$B$2:$B$181,"University of Waterloo",'Analysis Data'!$J$2:$J$181,$A18)</f>
        <v>3</v>
      </c>
      <c r="G18">
        <f t="shared" si="0"/>
        <v>4</v>
      </c>
      <c r="H18" s="19">
        <f t="shared" si="1"/>
        <v>2.2222222222222223E-2</v>
      </c>
    </row>
    <row r="19" spans="1:8" x14ac:dyDescent="0.3">
      <c r="A19" t="s">
        <v>33</v>
      </c>
      <c r="B19">
        <f>COUNTIFS('Analysis Data'!$B$2:$B$181,"University of Toronto",'Analysis Data'!$J$2:$J$181,$A19)</f>
        <v>2</v>
      </c>
      <c r="C19">
        <f>COUNTIFS('Analysis Data'!$B$2:$B$181,"McMaster University",'Analysis Data'!$J$2:$J$181,$A19)</f>
        <v>1</v>
      </c>
      <c r="D19">
        <f>COUNTIFS('Analysis Data'!$B$2:$B$181,"York University",'Analysis Data'!$J$2:$J$181,$A19)</f>
        <v>0</v>
      </c>
      <c r="E19">
        <f>COUNTIFS('Analysis Data'!$B$2:$B$181,"Toronto Metropolitan University",'Analysis Data'!$J$2:$J$181,$A19)</f>
        <v>0</v>
      </c>
      <c r="F19">
        <f>COUNTIFS('Analysis Data'!$B$2:$B$181,"University of Waterloo",'Analysis Data'!$J$2:$J$181,$A19)</f>
        <v>0</v>
      </c>
      <c r="G19">
        <f t="shared" si="0"/>
        <v>3</v>
      </c>
      <c r="H19" s="19">
        <f t="shared" si="1"/>
        <v>1.6666666666666666E-2</v>
      </c>
    </row>
    <row r="20" spans="1:8" x14ac:dyDescent="0.3">
      <c r="A20" t="s">
        <v>97</v>
      </c>
      <c r="B20">
        <f>COUNTIFS('Analysis Data'!$B$2:$B$181,"University of Toronto",'Analysis Data'!$J$2:$J$181,$A20)</f>
        <v>1</v>
      </c>
      <c r="C20">
        <f>COUNTIFS('Analysis Data'!$B$2:$B$181,"McMaster University",'Analysis Data'!$J$2:$J$181,$A20)</f>
        <v>1</v>
      </c>
      <c r="D20">
        <f>COUNTIFS('Analysis Data'!$B$2:$B$181,"York University",'Analysis Data'!$J$2:$J$181,$A20)</f>
        <v>0</v>
      </c>
      <c r="E20">
        <f>COUNTIFS('Analysis Data'!$B$2:$B$181,"Toronto Metropolitan University",'Analysis Data'!$J$2:$J$181,$A20)</f>
        <v>1</v>
      </c>
      <c r="F20">
        <f>COUNTIFS('Analysis Data'!$B$2:$B$181,"University of Waterloo",'Analysis Data'!$J$2:$J$181,$A20)</f>
        <v>0</v>
      </c>
      <c r="G20">
        <f t="shared" si="0"/>
        <v>3</v>
      </c>
      <c r="H20" s="19">
        <f t="shared" si="1"/>
        <v>1.6666666666666666E-2</v>
      </c>
    </row>
    <row r="21" spans="1:8" x14ac:dyDescent="0.3">
      <c r="A21" s="20" t="s">
        <v>647</v>
      </c>
      <c r="B21" s="20">
        <v>36</v>
      </c>
      <c r="C21" s="20">
        <v>36</v>
      </c>
      <c r="D21" s="20">
        <v>36</v>
      </c>
      <c r="E21" s="20">
        <v>36</v>
      </c>
      <c r="F21" s="20">
        <v>36</v>
      </c>
      <c r="G21" s="20">
        <v>180</v>
      </c>
      <c r="H21" s="21">
        <v>1</v>
      </c>
    </row>
    <row r="24" spans="1:8" x14ac:dyDescent="0.3">
      <c r="A24" s="13" t="s">
        <v>8</v>
      </c>
      <c r="B24" s="13" t="s">
        <v>9</v>
      </c>
      <c r="C24" s="13" t="s">
        <v>654</v>
      </c>
      <c r="D24" s="13" t="s">
        <v>648</v>
      </c>
    </row>
    <row r="25" spans="1:8" x14ac:dyDescent="0.3">
      <c r="A25" t="s">
        <v>20</v>
      </c>
      <c r="B25" t="s">
        <v>21</v>
      </c>
      <c r="C25">
        <f>COUNTIFS('Analysis Data'!$I$2:$I$181,A25,'Analysis Data'!$J$2:$J$181,B25)</f>
        <v>17</v>
      </c>
      <c r="D25" s="19">
        <f t="shared" ref="D25:D34" si="2">C25/180</f>
        <v>9.4444444444444442E-2</v>
      </c>
    </row>
    <row r="26" spans="1:8" x14ac:dyDescent="0.3">
      <c r="A26" t="s">
        <v>20</v>
      </c>
      <c r="B26" t="s">
        <v>28</v>
      </c>
      <c r="C26">
        <f>COUNTIFS('Analysis Data'!$I$2:$I$181,A26,'Analysis Data'!$J$2:$J$181,B26)</f>
        <v>13</v>
      </c>
      <c r="D26" s="19">
        <f t="shared" si="2"/>
        <v>7.2222222222222215E-2</v>
      </c>
    </row>
    <row r="27" spans="1:8" x14ac:dyDescent="0.3">
      <c r="A27" t="s">
        <v>20</v>
      </c>
      <c r="B27" t="s">
        <v>101</v>
      </c>
      <c r="C27">
        <f>COUNTIFS('Analysis Data'!$I$2:$I$181,A27,'Analysis Data'!$J$2:$J$181,B27)</f>
        <v>8</v>
      </c>
      <c r="D27" s="19">
        <f t="shared" si="2"/>
        <v>4.4444444444444446E-2</v>
      </c>
    </row>
    <row r="28" spans="1:8" x14ac:dyDescent="0.3">
      <c r="A28" t="s">
        <v>20</v>
      </c>
      <c r="B28" t="s">
        <v>124</v>
      </c>
      <c r="C28">
        <f>COUNTIFS('Analysis Data'!$I$2:$I$181,A28,'Analysis Data'!$J$2:$J$181,B28)</f>
        <v>7</v>
      </c>
      <c r="D28" s="19">
        <f t="shared" si="2"/>
        <v>3.888888888888889E-2</v>
      </c>
    </row>
    <row r="29" spans="1:8" x14ac:dyDescent="0.3">
      <c r="A29" t="s">
        <v>21</v>
      </c>
      <c r="B29" t="s">
        <v>20</v>
      </c>
      <c r="C29">
        <f>COUNTIFS('Analysis Data'!$I$2:$I$181,A29,'Analysis Data'!$J$2:$J$181,B29)</f>
        <v>7</v>
      </c>
      <c r="D29" s="19">
        <f t="shared" si="2"/>
        <v>3.888888888888889E-2</v>
      </c>
    </row>
    <row r="30" spans="1:8" x14ac:dyDescent="0.3">
      <c r="A30" t="s">
        <v>60</v>
      </c>
      <c r="B30" t="s">
        <v>20</v>
      </c>
      <c r="C30">
        <f>COUNTIFS('Analysis Data'!$I$2:$I$181,A30,'Analysis Data'!$J$2:$J$181,B30)</f>
        <v>6</v>
      </c>
      <c r="D30" s="19">
        <f t="shared" si="2"/>
        <v>3.3333333333333333E-2</v>
      </c>
    </row>
    <row r="31" spans="1:8" x14ac:dyDescent="0.3">
      <c r="A31" t="s">
        <v>27</v>
      </c>
      <c r="B31" t="s">
        <v>28</v>
      </c>
      <c r="C31">
        <f>COUNTIFS('Analysis Data'!$I$2:$I$181,A31,'Analysis Data'!$J$2:$J$181,B31)</f>
        <v>5</v>
      </c>
      <c r="D31" s="19">
        <f t="shared" si="2"/>
        <v>2.7777777777777776E-2</v>
      </c>
    </row>
    <row r="32" spans="1:8" x14ac:dyDescent="0.3">
      <c r="A32" t="s">
        <v>27</v>
      </c>
      <c r="B32" t="s">
        <v>39</v>
      </c>
      <c r="C32">
        <f>COUNTIFS('Analysis Data'!$I$2:$I$181,A32,'Analysis Data'!$J$2:$J$181,B32)</f>
        <v>5</v>
      </c>
      <c r="D32" s="19">
        <f t="shared" si="2"/>
        <v>2.7777777777777776E-2</v>
      </c>
    </row>
    <row r="33" spans="1:8" x14ac:dyDescent="0.3">
      <c r="A33" t="s">
        <v>20</v>
      </c>
      <c r="B33" t="s">
        <v>34</v>
      </c>
      <c r="C33">
        <f>COUNTIFS('Analysis Data'!$I$2:$I$181,A33,'Analysis Data'!$J$2:$J$181,B33)</f>
        <v>5</v>
      </c>
      <c r="D33" s="19">
        <f t="shared" si="2"/>
        <v>2.7777777777777776E-2</v>
      </c>
    </row>
    <row r="34" spans="1:8" x14ac:dyDescent="0.3">
      <c r="A34" t="s">
        <v>28</v>
      </c>
      <c r="B34" t="s">
        <v>60</v>
      </c>
      <c r="C34">
        <f>COUNTIFS('Analysis Data'!$I$2:$I$181,A34,'Analysis Data'!$J$2:$J$181,B34)</f>
        <v>4</v>
      </c>
      <c r="D34" s="19">
        <f t="shared" si="2"/>
        <v>2.2222222222222223E-2</v>
      </c>
    </row>
    <row r="37" spans="1:8" x14ac:dyDescent="0.3">
      <c r="A37" s="29" t="s">
        <v>651</v>
      </c>
      <c r="B37" s="29"/>
      <c r="C37" s="29"/>
      <c r="D37" s="29"/>
      <c r="E37" s="29"/>
      <c r="F37" s="29"/>
      <c r="G37" s="29"/>
      <c r="H37" s="29"/>
    </row>
    <row r="38" spans="1:8" x14ac:dyDescent="0.3">
      <c r="A38" s="36" t="s">
        <v>655</v>
      </c>
      <c r="B38" s="36"/>
      <c r="C38" s="36"/>
      <c r="D38" s="36"/>
      <c r="E38" s="36"/>
      <c r="F38" s="36"/>
      <c r="G38" s="36"/>
      <c r="H38" s="36"/>
    </row>
    <row r="39" spans="1:8" x14ac:dyDescent="0.3">
      <c r="A39" s="36"/>
      <c r="B39" s="36"/>
      <c r="C39" s="36"/>
      <c r="D39" s="36"/>
      <c r="E39" s="36"/>
      <c r="F39" s="36"/>
      <c r="G39" s="36"/>
      <c r="H39" s="36"/>
    </row>
    <row r="40" spans="1:8" x14ac:dyDescent="0.3">
      <c r="A40" s="36"/>
      <c r="B40" s="36"/>
      <c r="C40" s="36"/>
      <c r="D40" s="36"/>
      <c r="E40" s="36"/>
      <c r="F40" s="36"/>
      <c r="G40" s="36"/>
      <c r="H40" s="36"/>
    </row>
    <row r="41" spans="1:8" x14ac:dyDescent="0.3">
      <c r="A41" s="36"/>
      <c r="B41" s="36"/>
      <c r="C41" s="36"/>
      <c r="D41" s="36"/>
      <c r="E41" s="36"/>
      <c r="F41" s="36"/>
      <c r="G41" s="36"/>
      <c r="H41" s="36"/>
    </row>
    <row r="42" spans="1:8" x14ac:dyDescent="0.3">
      <c r="A42" s="36"/>
      <c r="B42" s="36"/>
      <c r="C42" s="36"/>
      <c r="D42" s="36"/>
      <c r="E42" s="36"/>
      <c r="F42" s="36"/>
      <c r="G42" s="36"/>
      <c r="H42" s="36"/>
    </row>
    <row r="43" spans="1:8" x14ac:dyDescent="0.3">
      <c r="A43" s="36"/>
      <c r="B43" s="36"/>
      <c r="C43" s="36"/>
      <c r="D43" s="36"/>
      <c r="E43" s="36"/>
      <c r="F43" s="36"/>
      <c r="G43" s="36"/>
      <c r="H43" s="36"/>
    </row>
    <row r="44" spans="1:8" x14ac:dyDescent="0.3">
      <c r="A44" s="36"/>
      <c r="B44" s="36"/>
      <c r="C44" s="36"/>
      <c r="D44" s="36"/>
      <c r="E44" s="36"/>
      <c r="F44" s="36"/>
      <c r="G44" s="36"/>
      <c r="H44" s="36"/>
    </row>
  </sheetData>
  <mergeCells count="3">
    <mergeCell ref="A1:H2"/>
    <mergeCell ref="A37:H37"/>
    <mergeCell ref="A38:H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0"/>
  <sheetViews>
    <sheetView topLeftCell="A4" workbookViewId="0">
      <selection activeCell="B18" sqref="B18"/>
    </sheetView>
  </sheetViews>
  <sheetFormatPr defaultRowHeight="14.4" x14ac:dyDescent="0.3"/>
  <cols>
    <col min="1" max="1" width="20.88671875" customWidth="1"/>
    <col min="2" max="2" width="9.44140625" customWidth="1"/>
    <col min="3" max="3" width="11.33203125" customWidth="1"/>
    <col min="4" max="4" width="9.109375" customWidth="1"/>
    <col min="5" max="5" width="10.5546875" customWidth="1"/>
    <col min="6" max="6" width="10.44140625" customWidth="1"/>
    <col min="7" max="7" width="9.33203125" customWidth="1"/>
    <col min="8" max="8" width="10.6640625" customWidth="1"/>
  </cols>
  <sheetData>
    <row r="1" spans="1:8" ht="19.2" customHeight="1" x14ac:dyDescent="0.3">
      <c r="A1" s="35" t="s">
        <v>656</v>
      </c>
      <c r="B1" s="35"/>
      <c r="C1" s="35"/>
      <c r="D1" s="35"/>
      <c r="E1" s="35"/>
      <c r="F1" s="35"/>
      <c r="G1" s="35"/>
      <c r="H1" s="35"/>
    </row>
    <row r="2" spans="1:8" ht="19.2" customHeight="1" x14ac:dyDescent="0.3">
      <c r="A2" s="35"/>
      <c r="B2" s="35"/>
      <c r="C2" s="35"/>
      <c r="D2" s="35"/>
      <c r="E2" s="35"/>
      <c r="F2" s="35"/>
      <c r="G2" s="35"/>
      <c r="H2" s="35"/>
    </row>
    <row r="4" spans="1:8" x14ac:dyDescent="0.3">
      <c r="A4" s="13" t="s">
        <v>10</v>
      </c>
      <c r="B4" s="13" t="s">
        <v>624</v>
      </c>
      <c r="C4" s="13" t="s">
        <v>627</v>
      </c>
      <c r="D4" s="13" t="s">
        <v>630</v>
      </c>
      <c r="E4" s="13" t="s">
        <v>633</v>
      </c>
      <c r="F4" s="13" t="s">
        <v>639</v>
      </c>
      <c r="G4" s="13" t="s">
        <v>647</v>
      </c>
      <c r="H4" s="13" t="s">
        <v>648</v>
      </c>
    </row>
    <row r="5" spans="1:8" x14ac:dyDescent="0.3">
      <c r="A5" t="s">
        <v>66</v>
      </c>
      <c r="B5">
        <f>COUNTIFS('Analysis Data'!$B$2:$B$181,"University of Toronto",'Analysis Data'!$K$2:$K$181,$A5)</f>
        <v>9</v>
      </c>
      <c r="C5">
        <f>COUNTIFS('Analysis Data'!$B$2:$B$181,"McMaster University",'Analysis Data'!$K$2:$K$181,$A5)</f>
        <v>6</v>
      </c>
      <c r="D5">
        <f>COUNTIFS('Analysis Data'!$B$2:$B$181,"York University",'Analysis Data'!$K$2:$K$181,$A5)</f>
        <v>11</v>
      </c>
      <c r="E5">
        <f>COUNTIFS('Analysis Data'!$B$2:$B$181,"Toronto Metropolitan University",'Analysis Data'!$K$2:$K$181,$A5)</f>
        <v>10</v>
      </c>
      <c r="F5">
        <f>COUNTIFS('Analysis Data'!$B$2:$B$181,"University of Waterloo",'Analysis Data'!$K$2:$K$181,$A5)</f>
        <v>10</v>
      </c>
      <c r="G5">
        <f t="shared" ref="G5:G12" si="0">SUM(B5:F5)</f>
        <v>46</v>
      </c>
      <c r="H5" s="19">
        <f t="shared" ref="H5:H12" si="1">G5/180</f>
        <v>0.25555555555555554</v>
      </c>
    </row>
    <row r="6" spans="1:8" x14ac:dyDescent="0.3">
      <c r="A6" t="s">
        <v>22</v>
      </c>
      <c r="B6">
        <f>COUNTIFS('Analysis Data'!$B$2:$B$181,"University of Toronto",'Analysis Data'!$K$2:$K$181,$A6)</f>
        <v>7</v>
      </c>
      <c r="C6">
        <f>COUNTIFS('Analysis Data'!$B$2:$B$181,"McMaster University",'Analysis Data'!$K$2:$K$181,$A6)</f>
        <v>6</v>
      </c>
      <c r="D6">
        <f>COUNTIFS('Analysis Data'!$B$2:$B$181,"York University",'Analysis Data'!$K$2:$K$181,$A6)</f>
        <v>7</v>
      </c>
      <c r="E6">
        <f>COUNTIFS('Analysis Data'!$B$2:$B$181,"Toronto Metropolitan University",'Analysis Data'!$K$2:$K$181,$A6)</f>
        <v>4</v>
      </c>
      <c r="F6">
        <f>COUNTIFS('Analysis Data'!$B$2:$B$181,"University of Waterloo",'Analysis Data'!$K$2:$K$181,$A6)</f>
        <v>5</v>
      </c>
      <c r="G6">
        <f t="shared" si="0"/>
        <v>29</v>
      </c>
      <c r="H6" s="19">
        <f t="shared" si="1"/>
        <v>0.16111111111111112</v>
      </c>
    </row>
    <row r="7" spans="1:8" x14ac:dyDescent="0.3">
      <c r="A7" t="s">
        <v>35</v>
      </c>
      <c r="B7">
        <f>COUNTIFS('Analysis Data'!$B$2:$B$181,"University of Toronto",'Analysis Data'!$K$2:$K$181,$A7)</f>
        <v>3</v>
      </c>
      <c r="C7">
        <f>COUNTIFS('Analysis Data'!$B$2:$B$181,"McMaster University",'Analysis Data'!$K$2:$K$181,$A7)</f>
        <v>6</v>
      </c>
      <c r="D7">
        <f>COUNTIFS('Analysis Data'!$B$2:$B$181,"York University",'Analysis Data'!$K$2:$K$181,$A7)</f>
        <v>7</v>
      </c>
      <c r="E7">
        <f>COUNTIFS('Analysis Data'!$B$2:$B$181,"Toronto Metropolitan University",'Analysis Data'!$K$2:$K$181,$A7)</f>
        <v>3</v>
      </c>
      <c r="F7">
        <f>COUNTIFS('Analysis Data'!$B$2:$B$181,"University of Waterloo",'Analysis Data'!$K$2:$K$181,$A7)</f>
        <v>3</v>
      </c>
      <c r="G7">
        <f t="shared" si="0"/>
        <v>22</v>
      </c>
      <c r="H7" s="19">
        <f t="shared" si="1"/>
        <v>0.12222222222222222</v>
      </c>
    </row>
    <row r="8" spans="1:8" x14ac:dyDescent="0.3">
      <c r="A8" t="s">
        <v>29</v>
      </c>
      <c r="B8">
        <f>COUNTIFS('Analysis Data'!$B$2:$B$181,"University of Toronto",'Analysis Data'!$K$2:$K$181,$A8)</f>
        <v>4</v>
      </c>
      <c r="C8">
        <f>COUNTIFS('Analysis Data'!$B$2:$B$181,"McMaster University",'Analysis Data'!$K$2:$K$181,$A8)</f>
        <v>2</v>
      </c>
      <c r="D8">
        <f>COUNTIFS('Analysis Data'!$B$2:$B$181,"York University",'Analysis Data'!$K$2:$K$181,$A8)</f>
        <v>1</v>
      </c>
      <c r="E8">
        <f>COUNTIFS('Analysis Data'!$B$2:$B$181,"Toronto Metropolitan University",'Analysis Data'!$K$2:$K$181,$A8)</f>
        <v>4</v>
      </c>
      <c r="F8">
        <f>COUNTIFS('Analysis Data'!$B$2:$B$181,"University of Waterloo",'Analysis Data'!$K$2:$K$181,$A8)</f>
        <v>10</v>
      </c>
      <c r="G8">
        <f t="shared" si="0"/>
        <v>21</v>
      </c>
      <c r="H8" s="19">
        <f t="shared" si="1"/>
        <v>0.11666666666666667</v>
      </c>
    </row>
    <row r="9" spans="1:8" x14ac:dyDescent="0.3">
      <c r="A9" t="s">
        <v>43</v>
      </c>
      <c r="B9">
        <f>COUNTIFS('Analysis Data'!$B$2:$B$181,"University of Toronto",'Analysis Data'!$K$2:$K$181,$A9)</f>
        <v>4</v>
      </c>
      <c r="C9">
        <f>COUNTIFS('Analysis Data'!$B$2:$B$181,"McMaster University",'Analysis Data'!$K$2:$K$181,$A9)</f>
        <v>3</v>
      </c>
      <c r="D9">
        <f>COUNTIFS('Analysis Data'!$B$2:$B$181,"York University",'Analysis Data'!$K$2:$K$181,$A9)</f>
        <v>3</v>
      </c>
      <c r="E9">
        <f>COUNTIFS('Analysis Data'!$B$2:$B$181,"Toronto Metropolitan University",'Analysis Data'!$K$2:$K$181,$A9)</f>
        <v>3</v>
      </c>
      <c r="F9">
        <f>COUNTIFS('Analysis Data'!$B$2:$B$181,"University of Waterloo",'Analysis Data'!$K$2:$K$181,$A9)</f>
        <v>7</v>
      </c>
      <c r="G9">
        <f t="shared" si="0"/>
        <v>20</v>
      </c>
      <c r="H9" s="19">
        <f t="shared" si="1"/>
        <v>0.1111111111111111</v>
      </c>
    </row>
    <row r="10" spans="1:8" x14ac:dyDescent="0.3">
      <c r="A10" t="s">
        <v>55</v>
      </c>
      <c r="B10">
        <f>COUNTIFS('Analysis Data'!$B$2:$B$181,"University of Toronto",'Analysis Data'!$K$2:$K$181,$A10)</f>
        <v>2</v>
      </c>
      <c r="C10">
        <f>COUNTIFS('Analysis Data'!$B$2:$B$181,"McMaster University",'Analysis Data'!$K$2:$K$181,$A10)</f>
        <v>7</v>
      </c>
      <c r="D10">
        <f>COUNTIFS('Analysis Data'!$B$2:$B$181,"York University",'Analysis Data'!$K$2:$K$181,$A10)</f>
        <v>4</v>
      </c>
      <c r="E10">
        <f>COUNTIFS('Analysis Data'!$B$2:$B$181,"Toronto Metropolitan University",'Analysis Data'!$K$2:$K$181,$A10)</f>
        <v>5</v>
      </c>
      <c r="F10">
        <f>COUNTIFS('Analysis Data'!$B$2:$B$181,"University of Waterloo",'Analysis Data'!$K$2:$K$181,$A10)</f>
        <v>0</v>
      </c>
      <c r="G10">
        <f t="shared" si="0"/>
        <v>18</v>
      </c>
      <c r="H10" s="19">
        <f t="shared" si="1"/>
        <v>0.1</v>
      </c>
    </row>
    <row r="11" spans="1:8" x14ac:dyDescent="0.3">
      <c r="A11" t="s">
        <v>93</v>
      </c>
      <c r="B11">
        <f>COUNTIFS('Analysis Data'!$B$2:$B$181,"University of Toronto",'Analysis Data'!$K$2:$K$181,$A11)</f>
        <v>6</v>
      </c>
      <c r="C11">
        <f>COUNTIFS('Analysis Data'!$B$2:$B$181,"McMaster University",'Analysis Data'!$K$2:$K$181,$A11)</f>
        <v>2</v>
      </c>
      <c r="D11">
        <f>COUNTIFS('Analysis Data'!$B$2:$B$181,"York University",'Analysis Data'!$K$2:$K$181,$A11)</f>
        <v>2</v>
      </c>
      <c r="E11">
        <f>COUNTIFS('Analysis Data'!$B$2:$B$181,"Toronto Metropolitan University",'Analysis Data'!$K$2:$K$181,$A11)</f>
        <v>3</v>
      </c>
      <c r="F11">
        <f>COUNTIFS('Analysis Data'!$B$2:$B$181,"University of Waterloo",'Analysis Data'!$K$2:$K$181,$A11)</f>
        <v>0</v>
      </c>
      <c r="G11">
        <f t="shared" si="0"/>
        <v>13</v>
      </c>
      <c r="H11" s="19">
        <f t="shared" si="1"/>
        <v>7.2222222222222215E-2</v>
      </c>
    </row>
    <row r="12" spans="1:8" x14ac:dyDescent="0.3">
      <c r="A12" t="s">
        <v>62</v>
      </c>
      <c r="B12">
        <f>COUNTIFS('Analysis Data'!$B$2:$B$181,"University of Toronto",'Analysis Data'!$K$2:$K$181,$A12)</f>
        <v>1</v>
      </c>
      <c r="C12">
        <f>COUNTIFS('Analysis Data'!$B$2:$B$181,"McMaster University",'Analysis Data'!$K$2:$K$181,$A12)</f>
        <v>4</v>
      </c>
      <c r="D12">
        <f>COUNTIFS('Analysis Data'!$B$2:$B$181,"York University",'Analysis Data'!$K$2:$K$181,$A12)</f>
        <v>1</v>
      </c>
      <c r="E12">
        <f>COUNTIFS('Analysis Data'!$B$2:$B$181,"Toronto Metropolitan University",'Analysis Data'!$K$2:$K$181,$A12)</f>
        <v>4</v>
      </c>
      <c r="F12">
        <f>COUNTIFS('Analysis Data'!$B$2:$B$181,"University of Waterloo",'Analysis Data'!$K$2:$K$181,$A12)</f>
        <v>1</v>
      </c>
      <c r="G12">
        <f t="shared" si="0"/>
        <v>11</v>
      </c>
      <c r="H12" s="19">
        <f t="shared" si="1"/>
        <v>6.1111111111111109E-2</v>
      </c>
    </row>
    <row r="13" spans="1:8" x14ac:dyDescent="0.3">
      <c r="A13" s="20" t="s">
        <v>647</v>
      </c>
      <c r="B13" s="20">
        <v>36</v>
      </c>
      <c r="C13" s="20">
        <v>36</v>
      </c>
      <c r="D13" s="20">
        <v>36</v>
      </c>
      <c r="E13" s="20">
        <v>36</v>
      </c>
      <c r="F13" s="20">
        <v>36</v>
      </c>
      <c r="G13" s="20">
        <v>180</v>
      </c>
      <c r="H13" s="21">
        <v>1</v>
      </c>
    </row>
    <row r="16" spans="1:8" x14ac:dyDescent="0.3">
      <c r="A16" s="13" t="s">
        <v>657</v>
      </c>
      <c r="B16" s="13" t="s">
        <v>624</v>
      </c>
      <c r="C16" s="13" t="s">
        <v>627</v>
      </c>
      <c r="D16" s="13" t="s">
        <v>630</v>
      </c>
      <c r="E16" s="13" t="s">
        <v>633</v>
      </c>
      <c r="F16" s="13" t="s">
        <v>639</v>
      </c>
      <c r="G16" s="13" t="s">
        <v>647</v>
      </c>
    </row>
    <row r="17" spans="1:8" x14ac:dyDescent="0.3">
      <c r="A17" t="s">
        <v>640</v>
      </c>
      <c r="B17">
        <f>COUNTIFS('Analysis Data'!$B$2:$B$181,"University of Toronto",'Analysis Data'!$R$2:$R$181,$A17)</f>
        <v>16</v>
      </c>
      <c r="C17">
        <f>COUNTIFS('Analysis Data'!$B$2:$B$181,"McMaster University",'Analysis Data'!$R$2:$R$181,$A17)</f>
        <v>22</v>
      </c>
      <c r="D17">
        <f>COUNTIFS('Analysis Data'!$B$2:$B$181,"York University",'Analysis Data'!$R$2:$R$181,$A17)</f>
        <v>21</v>
      </c>
      <c r="E17">
        <f>COUNTIFS('Analysis Data'!$B$2:$B$181,"Toronto Metropolitan University",'Analysis Data'!$R$2:$R$181,$A17)</f>
        <v>15</v>
      </c>
      <c r="F17">
        <f>COUNTIFS('Analysis Data'!$B$2:$B$181,"University of Waterloo",'Analysis Data'!$R$2:$R$181,$A17)</f>
        <v>15</v>
      </c>
      <c r="G17">
        <f>SUM(B17:F17)</f>
        <v>89</v>
      </c>
    </row>
    <row r="18" spans="1:8" x14ac:dyDescent="0.3">
      <c r="A18" t="s">
        <v>641</v>
      </c>
      <c r="B18">
        <f>COUNTIFS('Analysis Data'!$B$2:$B$181,"University of Toronto",'Analysis Data'!$R$2:$R$181,$A18)</f>
        <v>10</v>
      </c>
      <c r="C18">
        <f>COUNTIFS('Analysis Data'!$B$2:$B$181,"McMaster University",'Analysis Data'!$R$2:$R$181,$A18)</f>
        <v>10</v>
      </c>
      <c r="D18">
        <f>COUNTIFS('Analysis Data'!$B$2:$B$181,"York University",'Analysis Data'!$R$2:$R$181,$A18)</f>
        <v>12</v>
      </c>
      <c r="E18">
        <f>COUNTIFS('Analysis Data'!$B$2:$B$181,"Toronto Metropolitan University",'Analysis Data'!$R$2:$R$181,$A18)</f>
        <v>14</v>
      </c>
      <c r="F18">
        <f>COUNTIFS('Analysis Data'!$B$2:$B$181,"University of Waterloo",'Analysis Data'!$R$2:$R$181,$A18)</f>
        <v>11</v>
      </c>
      <c r="G18">
        <f>SUM(B18:F18)</f>
        <v>57</v>
      </c>
    </row>
    <row r="19" spans="1:8" x14ac:dyDescent="0.3">
      <c r="A19" t="s">
        <v>642</v>
      </c>
      <c r="B19">
        <f>COUNTIFS('Analysis Data'!$B$2:$B$181,"University of Toronto",'Analysis Data'!$R$2:$R$181,$A19)</f>
        <v>4</v>
      </c>
      <c r="C19">
        <f>COUNTIFS('Analysis Data'!$B$2:$B$181,"McMaster University",'Analysis Data'!$R$2:$R$181,$A19)</f>
        <v>2</v>
      </c>
      <c r="D19">
        <f>COUNTIFS('Analysis Data'!$B$2:$B$181,"York University",'Analysis Data'!$R$2:$R$181,$A19)</f>
        <v>1</v>
      </c>
      <c r="E19">
        <f>COUNTIFS('Analysis Data'!$B$2:$B$181,"Toronto Metropolitan University",'Analysis Data'!$R$2:$R$181,$A19)</f>
        <v>4</v>
      </c>
      <c r="F19">
        <f>COUNTIFS('Analysis Data'!$B$2:$B$181,"University of Waterloo",'Analysis Data'!$R$2:$R$181,$A19)</f>
        <v>10</v>
      </c>
      <c r="G19">
        <f>SUM(B19:F19)</f>
        <v>21</v>
      </c>
    </row>
    <row r="20" spans="1:8" x14ac:dyDescent="0.3">
      <c r="A20" t="s">
        <v>93</v>
      </c>
      <c r="B20">
        <f>COUNTIFS('Analysis Data'!$B$2:$B$181,"University of Toronto",'Analysis Data'!$R$2:$R$181,$A20)</f>
        <v>6</v>
      </c>
      <c r="C20">
        <f>COUNTIFS('Analysis Data'!$B$2:$B$181,"McMaster University",'Analysis Data'!$R$2:$R$181,$A20)</f>
        <v>2</v>
      </c>
      <c r="D20">
        <f>COUNTIFS('Analysis Data'!$B$2:$B$181,"York University",'Analysis Data'!$R$2:$R$181,$A20)</f>
        <v>2</v>
      </c>
      <c r="E20">
        <f>COUNTIFS('Analysis Data'!$B$2:$B$181,"Toronto Metropolitan University",'Analysis Data'!$R$2:$R$181,$A20)</f>
        <v>3</v>
      </c>
      <c r="F20">
        <f>COUNTIFS('Analysis Data'!$B$2:$B$181,"University of Waterloo",'Analysis Data'!$R$2:$R$181,$A20)</f>
        <v>0</v>
      </c>
      <c r="G20">
        <f>SUM(B20:F20)</f>
        <v>13</v>
      </c>
    </row>
    <row r="23" spans="1:8" x14ac:dyDescent="0.3">
      <c r="A23" s="29" t="s">
        <v>651</v>
      </c>
      <c r="B23" s="29"/>
      <c r="C23" s="29"/>
      <c r="D23" s="29"/>
      <c r="E23" s="29"/>
      <c r="F23" s="29"/>
      <c r="G23" s="29"/>
      <c r="H23" s="29"/>
    </row>
    <row r="24" spans="1:8" x14ac:dyDescent="0.3">
      <c r="A24" s="36" t="s">
        <v>658</v>
      </c>
      <c r="B24" s="36"/>
      <c r="C24" s="36"/>
      <c r="D24" s="36"/>
      <c r="E24" s="36"/>
      <c r="F24" s="36"/>
      <c r="G24" s="36"/>
      <c r="H24" s="36"/>
    </row>
    <row r="25" spans="1:8" x14ac:dyDescent="0.3">
      <c r="A25" s="36"/>
      <c r="B25" s="36"/>
      <c r="C25" s="36"/>
      <c r="D25" s="36"/>
      <c r="E25" s="36"/>
      <c r="F25" s="36"/>
      <c r="G25" s="36"/>
      <c r="H25" s="36"/>
    </row>
    <row r="26" spans="1:8" x14ac:dyDescent="0.3">
      <c r="A26" s="36"/>
      <c r="B26" s="36"/>
      <c r="C26" s="36"/>
      <c r="D26" s="36"/>
      <c r="E26" s="36"/>
      <c r="F26" s="36"/>
      <c r="G26" s="36"/>
      <c r="H26" s="36"/>
    </row>
    <row r="27" spans="1:8" x14ac:dyDescent="0.3">
      <c r="A27" s="36"/>
      <c r="B27" s="36"/>
      <c r="C27" s="36"/>
      <c r="D27" s="36"/>
      <c r="E27" s="36"/>
      <c r="F27" s="36"/>
      <c r="G27" s="36"/>
      <c r="H27" s="36"/>
    </row>
    <row r="28" spans="1:8" x14ac:dyDescent="0.3">
      <c r="A28" s="36"/>
      <c r="B28" s="36"/>
      <c r="C28" s="36"/>
      <c r="D28" s="36"/>
      <c r="E28" s="36"/>
      <c r="F28" s="36"/>
      <c r="G28" s="36"/>
      <c r="H28" s="36"/>
    </row>
    <row r="29" spans="1:8" x14ac:dyDescent="0.3">
      <c r="A29" s="36"/>
      <c r="B29" s="36"/>
      <c r="C29" s="36"/>
      <c r="D29" s="36"/>
      <c r="E29" s="36"/>
      <c r="F29" s="36"/>
      <c r="G29" s="36"/>
      <c r="H29" s="36"/>
    </row>
    <row r="30" spans="1:8" x14ac:dyDescent="0.3">
      <c r="A30" s="36"/>
      <c r="B30" s="36"/>
      <c r="C30" s="36"/>
      <c r="D30" s="36"/>
      <c r="E30" s="36"/>
      <c r="F30" s="36"/>
      <c r="G30" s="36"/>
      <c r="H30" s="36"/>
    </row>
  </sheetData>
  <mergeCells count="3">
    <mergeCell ref="A1:H2"/>
    <mergeCell ref="A23:H23"/>
    <mergeCell ref="A24:H3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2"/>
  <sheetViews>
    <sheetView workbookViewId="0">
      <selection activeCell="H19" sqref="H19"/>
    </sheetView>
  </sheetViews>
  <sheetFormatPr defaultRowHeight="14.4" x14ac:dyDescent="0.3"/>
  <cols>
    <col min="1" max="1" width="12.33203125" customWidth="1"/>
    <col min="2" max="2" width="9.88671875" customWidth="1"/>
    <col min="3" max="3" width="10.109375" customWidth="1"/>
    <col min="4" max="4" width="7.6640625" customWidth="1"/>
    <col min="5" max="5" width="8" customWidth="1"/>
    <col min="6" max="6" width="10.5546875" customWidth="1"/>
    <col min="7" max="7" width="10.6640625" customWidth="1"/>
    <col min="8" max="8" width="11.33203125" customWidth="1"/>
  </cols>
  <sheetData>
    <row r="1" spans="1:8" ht="19.2" customHeight="1" x14ac:dyDescent="0.3">
      <c r="A1" s="35" t="s">
        <v>659</v>
      </c>
      <c r="B1" s="35"/>
      <c r="C1" s="35"/>
      <c r="D1" s="35"/>
      <c r="E1" s="35"/>
      <c r="F1" s="35"/>
      <c r="G1" s="35"/>
      <c r="H1" s="35"/>
    </row>
    <row r="2" spans="1:8" ht="19.2" customHeight="1" x14ac:dyDescent="0.3">
      <c r="A2" s="35"/>
      <c r="B2" s="35"/>
      <c r="C2" s="35"/>
      <c r="D2" s="35"/>
      <c r="E2" s="35"/>
      <c r="F2" s="35"/>
      <c r="G2" s="35"/>
      <c r="H2" s="35"/>
    </row>
    <row r="4" spans="1:8" x14ac:dyDescent="0.3">
      <c r="A4" s="13" t="s">
        <v>6</v>
      </c>
      <c r="B4" s="13" t="s">
        <v>624</v>
      </c>
      <c r="C4" s="13" t="s">
        <v>627</v>
      </c>
      <c r="D4" s="13" t="s">
        <v>630</v>
      </c>
      <c r="E4" s="13" t="s">
        <v>633</v>
      </c>
      <c r="F4" s="13" t="s">
        <v>639</v>
      </c>
      <c r="G4" s="13" t="s">
        <v>647</v>
      </c>
      <c r="H4" s="13" t="s">
        <v>648</v>
      </c>
    </row>
    <row r="5" spans="1:8" x14ac:dyDescent="0.3">
      <c r="A5" t="s">
        <v>18</v>
      </c>
      <c r="B5">
        <f>COUNTIFS('Analysis Data'!$B$2:$B$181,"University of Toronto",'Analysis Data'!$G$2:$G$181,$A5)</f>
        <v>23</v>
      </c>
      <c r="C5">
        <f>COUNTIFS('Analysis Data'!$B$2:$B$181,"McMaster University",'Analysis Data'!$G$2:$G$181,$A5)</f>
        <v>21</v>
      </c>
      <c r="D5">
        <f>COUNTIFS('Analysis Data'!$B$2:$B$181,"York University",'Analysis Data'!$G$2:$G$181,$A5)</f>
        <v>28</v>
      </c>
      <c r="E5">
        <f>COUNTIFS('Analysis Data'!$B$2:$B$181,"Toronto Metropolitan University",'Analysis Data'!$G$2:$G$181,$A5)</f>
        <v>26</v>
      </c>
      <c r="F5">
        <f>COUNTIFS('Analysis Data'!$B$2:$B$181,"University of Waterloo",'Analysis Data'!$G$2:$G$181,$A5)</f>
        <v>16</v>
      </c>
      <c r="G5">
        <f>SUM(B5:F5)</f>
        <v>114</v>
      </c>
      <c r="H5" s="19">
        <f>G5/180</f>
        <v>0.6333333333333333</v>
      </c>
    </row>
    <row r="6" spans="1:8" x14ac:dyDescent="0.3">
      <c r="A6" t="s">
        <v>26</v>
      </c>
      <c r="B6">
        <f>COUNTIFS('Analysis Data'!$B$2:$B$181,"University of Toronto",'Analysis Data'!$G$2:$G$181,$A6)</f>
        <v>11</v>
      </c>
      <c r="C6">
        <f>COUNTIFS('Analysis Data'!$B$2:$B$181,"McMaster University",'Analysis Data'!$G$2:$G$181,$A6)</f>
        <v>2</v>
      </c>
      <c r="D6">
        <f>COUNTIFS('Analysis Data'!$B$2:$B$181,"York University",'Analysis Data'!$G$2:$G$181,$A6)</f>
        <v>4</v>
      </c>
      <c r="E6">
        <f>COUNTIFS('Analysis Data'!$B$2:$B$181,"Toronto Metropolitan University",'Analysis Data'!$G$2:$G$181,$A6)</f>
        <v>7</v>
      </c>
      <c r="F6">
        <f>COUNTIFS('Analysis Data'!$B$2:$B$181,"University of Waterloo",'Analysis Data'!$G$2:$G$181,$A6)</f>
        <v>10</v>
      </c>
      <c r="G6">
        <f>SUM(B6:F6)</f>
        <v>34</v>
      </c>
      <c r="H6" s="19">
        <f>G6/180</f>
        <v>0.18888888888888888</v>
      </c>
    </row>
    <row r="7" spans="1:8" x14ac:dyDescent="0.3">
      <c r="A7" t="s">
        <v>47</v>
      </c>
      <c r="B7">
        <f>COUNTIFS('Analysis Data'!$B$2:$B$181,"University of Toronto",'Analysis Data'!$G$2:$G$181,$A7)</f>
        <v>2</v>
      </c>
      <c r="C7">
        <f>COUNTIFS('Analysis Data'!$B$2:$B$181,"McMaster University",'Analysis Data'!$G$2:$G$181,$A7)</f>
        <v>13</v>
      </c>
      <c r="D7">
        <f>COUNTIFS('Analysis Data'!$B$2:$B$181,"York University",'Analysis Data'!$G$2:$G$181,$A7)</f>
        <v>4</v>
      </c>
      <c r="E7">
        <f>COUNTIFS('Analysis Data'!$B$2:$B$181,"Toronto Metropolitan University",'Analysis Data'!$G$2:$G$181,$A7)</f>
        <v>3</v>
      </c>
      <c r="F7">
        <f>COUNTIFS('Analysis Data'!$B$2:$B$181,"University of Waterloo",'Analysis Data'!$G$2:$G$181,$A7)</f>
        <v>10</v>
      </c>
      <c r="G7">
        <f>SUM(B7:F7)</f>
        <v>32</v>
      </c>
      <c r="H7" s="19">
        <f>G7/180</f>
        <v>0.17777777777777778</v>
      </c>
    </row>
    <row r="11" spans="1:8" x14ac:dyDescent="0.3">
      <c r="A11" s="13" t="s">
        <v>11</v>
      </c>
      <c r="B11" s="13" t="s">
        <v>624</v>
      </c>
      <c r="C11" s="13" t="s">
        <v>627</v>
      </c>
      <c r="D11" s="13" t="s">
        <v>630</v>
      </c>
      <c r="E11" s="13" t="s">
        <v>633</v>
      </c>
      <c r="F11" s="13" t="s">
        <v>639</v>
      </c>
      <c r="G11" s="13" t="s">
        <v>647</v>
      </c>
      <c r="H11" s="13" t="s">
        <v>648</v>
      </c>
    </row>
    <row r="12" spans="1:8" x14ac:dyDescent="0.3">
      <c r="A12" t="s">
        <v>19</v>
      </c>
      <c r="B12">
        <f>COUNTIFS('Analysis Data'!$B$2:$B$181,"University of Toronto",'Analysis Data'!$L$2:$L$181,$A12)</f>
        <v>31</v>
      </c>
      <c r="C12">
        <f>COUNTIFS('Analysis Data'!$B$2:$B$181,"McMaster University",'Analysis Data'!$L$2:$L$181,$A12)</f>
        <v>23</v>
      </c>
      <c r="D12">
        <f>COUNTIFS('Analysis Data'!$B$2:$B$181,"York University",'Analysis Data'!$L$2:$L$181,$A12)</f>
        <v>15</v>
      </c>
      <c r="E12">
        <f>COUNTIFS('Analysis Data'!$B$2:$B$181,"Toronto Metropolitan University",'Analysis Data'!$L$2:$L$181,$A12)</f>
        <v>21</v>
      </c>
      <c r="F12">
        <f>COUNTIFS('Analysis Data'!$B$2:$B$181,"University of Waterloo",'Analysis Data'!$L$2:$L$181,$A12)</f>
        <v>31</v>
      </c>
      <c r="G12">
        <f>SUM(B12:F12)</f>
        <v>121</v>
      </c>
      <c r="H12" s="19">
        <f>G12/180</f>
        <v>0.67222222222222228</v>
      </c>
    </row>
    <row r="13" spans="1:8" x14ac:dyDescent="0.3">
      <c r="A13" t="s">
        <v>56</v>
      </c>
      <c r="B13">
        <f>COUNTIFS('Analysis Data'!$B$2:$B$181,"University of Toronto",'Analysis Data'!$L$2:$L$181,$A13)</f>
        <v>5</v>
      </c>
      <c r="C13">
        <f>COUNTIFS('Analysis Data'!$B$2:$B$181,"McMaster University",'Analysis Data'!$L$2:$L$181,$A13)</f>
        <v>13</v>
      </c>
      <c r="D13">
        <f>COUNTIFS('Analysis Data'!$B$2:$B$181,"York University",'Analysis Data'!$L$2:$L$181,$A13)</f>
        <v>21</v>
      </c>
      <c r="E13">
        <f>COUNTIFS('Analysis Data'!$B$2:$B$181,"Toronto Metropolitan University",'Analysis Data'!$L$2:$L$181,$A13)</f>
        <v>15</v>
      </c>
      <c r="F13">
        <f>COUNTIFS('Analysis Data'!$B$2:$B$181,"University of Waterloo",'Analysis Data'!$L$2:$L$181,$A13)</f>
        <v>5</v>
      </c>
      <c r="G13">
        <f>SUM(B13:F13)</f>
        <v>59</v>
      </c>
      <c r="H13" s="19">
        <f>G13/180</f>
        <v>0.32777777777777778</v>
      </c>
    </row>
    <row r="17" spans="1:8" x14ac:dyDescent="0.3">
      <c r="A17" s="13" t="s">
        <v>1</v>
      </c>
      <c r="B17" s="13" t="s">
        <v>660</v>
      </c>
      <c r="C17" s="13" t="s">
        <v>645</v>
      </c>
    </row>
    <row r="18" spans="1:8" x14ac:dyDescent="0.3">
      <c r="A18" t="s">
        <v>624</v>
      </c>
      <c r="B18">
        <f>COUNTIFS('Analysis Data'!$B$2:$B$181,"University of Toronto",'Analysis Data'!$L$2:$L$181,"Yes")</f>
        <v>31</v>
      </c>
      <c r="C18" s="19">
        <f>B18/36</f>
        <v>0.86111111111111116</v>
      </c>
    </row>
    <row r="19" spans="1:8" x14ac:dyDescent="0.3">
      <c r="A19" t="s">
        <v>627</v>
      </c>
      <c r="B19">
        <f>COUNTIFS('Analysis Data'!$B$2:$B$181,"McMaster University",'Analysis Data'!$L$2:$L$181,"Yes")</f>
        <v>23</v>
      </c>
      <c r="C19" s="19">
        <f>B19/36</f>
        <v>0.63888888888888884</v>
      </c>
    </row>
    <row r="20" spans="1:8" x14ac:dyDescent="0.3">
      <c r="A20" t="s">
        <v>630</v>
      </c>
      <c r="B20">
        <f>COUNTIFS('Analysis Data'!$B$2:$B$181,"York University",'Analysis Data'!$L$2:$L$181,"Yes")</f>
        <v>15</v>
      </c>
      <c r="C20" s="19">
        <f>B20/36</f>
        <v>0.41666666666666669</v>
      </c>
    </row>
    <row r="21" spans="1:8" x14ac:dyDescent="0.3">
      <c r="A21" t="s">
        <v>633</v>
      </c>
      <c r="B21">
        <f>COUNTIFS('Analysis Data'!$B$2:$B$181,"Toronto Metropolitan University",'Analysis Data'!$L$2:$L$181,"Yes")</f>
        <v>21</v>
      </c>
      <c r="C21" s="19">
        <f>B21/36</f>
        <v>0.58333333333333337</v>
      </c>
    </row>
    <row r="22" spans="1:8" x14ac:dyDescent="0.3">
      <c r="A22" t="s">
        <v>639</v>
      </c>
      <c r="B22">
        <f>COUNTIFS('Analysis Data'!$B$2:$B$181,"University of Waterloo",'Analysis Data'!$L$2:$L$181,"Yes")</f>
        <v>31</v>
      </c>
      <c r="C22" s="19">
        <f>B22/36</f>
        <v>0.86111111111111116</v>
      </c>
    </row>
    <row r="25" spans="1:8" x14ac:dyDescent="0.3">
      <c r="A25" s="29" t="s">
        <v>651</v>
      </c>
      <c r="B25" s="29"/>
      <c r="C25" s="29"/>
      <c r="D25" s="29"/>
      <c r="E25" s="29"/>
      <c r="F25" s="29"/>
      <c r="G25" s="29"/>
      <c r="H25" s="29"/>
    </row>
    <row r="26" spans="1:8" x14ac:dyDescent="0.3">
      <c r="A26" s="36" t="s">
        <v>661</v>
      </c>
      <c r="B26" s="36"/>
      <c r="C26" s="36"/>
      <c r="D26" s="36"/>
      <c r="E26" s="36"/>
      <c r="F26" s="36"/>
      <c r="G26" s="36"/>
      <c r="H26" s="36"/>
    </row>
    <row r="27" spans="1:8" x14ac:dyDescent="0.3">
      <c r="A27" s="36"/>
      <c r="B27" s="36"/>
      <c r="C27" s="36"/>
      <c r="D27" s="36"/>
      <c r="E27" s="36"/>
      <c r="F27" s="36"/>
      <c r="G27" s="36"/>
      <c r="H27" s="36"/>
    </row>
    <row r="28" spans="1:8" x14ac:dyDescent="0.3">
      <c r="A28" s="36"/>
      <c r="B28" s="36"/>
      <c r="C28" s="36"/>
      <c r="D28" s="36"/>
      <c r="E28" s="36"/>
      <c r="F28" s="36"/>
      <c r="G28" s="36"/>
      <c r="H28" s="36"/>
    </row>
    <row r="29" spans="1:8" x14ac:dyDescent="0.3">
      <c r="A29" s="36"/>
      <c r="B29" s="36"/>
      <c r="C29" s="36"/>
      <c r="D29" s="36"/>
      <c r="E29" s="36"/>
      <c r="F29" s="36"/>
      <c r="G29" s="36"/>
      <c r="H29" s="36"/>
    </row>
    <row r="30" spans="1:8" x14ac:dyDescent="0.3">
      <c r="A30" s="36"/>
      <c r="B30" s="36"/>
      <c r="C30" s="36"/>
      <c r="D30" s="36"/>
      <c r="E30" s="36"/>
      <c r="F30" s="36"/>
      <c r="G30" s="36"/>
      <c r="H30" s="36"/>
    </row>
    <row r="31" spans="1:8" x14ac:dyDescent="0.3">
      <c r="A31" s="36"/>
      <c r="B31" s="36"/>
      <c r="C31" s="36"/>
      <c r="D31" s="36"/>
      <c r="E31" s="36"/>
      <c r="F31" s="36"/>
      <c r="G31" s="36"/>
      <c r="H31" s="36"/>
    </row>
    <row r="32" spans="1:8" x14ac:dyDescent="0.3">
      <c r="A32" s="36"/>
      <c r="B32" s="36"/>
      <c r="C32" s="36"/>
      <c r="D32" s="36"/>
      <c r="E32" s="36"/>
      <c r="F32" s="36"/>
      <c r="G32" s="36"/>
      <c r="H32" s="36"/>
    </row>
  </sheetData>
  <mergeCells count="3">
    <mergeCell ref="A1:H2"/>
    <mergeCell ref="A25:H25"/>
    <mergeCell ref="A26:H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32"/>
  <sheetViews>
    <sheetView topLeftCell="B1" zoomScale="55" zoomScaleNormal="55" workbookViewId="0">
      <selection activeCell="E21" sqref="E21:M31"/>
    </sheetView>
  </sheetViews>
  <sheetFormatPr defaultRowHeight="14.4" x14ac:dyDescent="0.3"/>
  <cols>
    <col min="1" max="1" width="16" customWidth="1"/>
    <col min="2" max="2" width="46.88671875" customWidth="1"/>
    <col min="3" max="4" width="23" customWidth="1"/>
    <col min="5" max="5" width="39.33203125" customWidth="1"/>
    <col min="6" max="6" width="23" customWidth="1"/>
    <col min="7" max="7" width="10" customWidth="1"/>
    <col min="9" max="9" width="16" customWidth="1"/>
    <col min="10" max="13" width="23" customWidth="1"/>
  </cols>
  <sheetData>
    <row r="1" spans="1:13" ht="19.2" customHeight="1" x14ac:dyDescent="0.3">
      <c r="A1" s="35" t="s">
        <v>662</v>
      </c>
      <c r="B1" s="35"/>
      <c r="C1" s="35"/>
      <c r="D1" s="35"/>
      <c r="E1" s="35"/>
      <c r="F1" s="35"/>
      <c r="G1" s="35"/>
      <c r="H1" s="35"/>
      <c r="I1" s="35"/>
      <c r="J1" s="35"/>
      <c r="K1" s="35"/>
      <c r="L1" s="35"/>
      <c r="M1" s="35"/>
    </row>
    <row r="2" spans="1:13" ht="19.2" customHeight="1" x14ac:dyDescent="0.3">
      <c r="A2" s="35"/>
      <c r="B2" s="35"/>
      <c r="C2" s="35"/>
      <c r="D2" s="35"/>
      <c r="E2" s="35"/>
      <c r="F2" s="35"/>
      <c r="G2" s="35"/>
      <c r="H2" s="35"/>
      <c r="I2" s="35"/>
      <c r="J2" s="35"/>
      <c r="K2" s="35"/>
      <c r="L2" s="35"/>
      <c r="M2" s="35"/>
    </row>
    <row r="4" spans="1:13" x14ac:dyDescent="0.3">
      <c r="A4" s="13" t="s">
        <v>3</v>
      </c>
      <c r="B4" s="13" t="s">
        <v>615</v>
      </c>
      <c r="C4" s="13" t="s">
        <v>616</v>
      </c>
      <c r="D4" s="13" t="s">
        <v>617</v>
      </c>
      <c r="E4" s="13" t="s">
        <v>650</v>
      </c>
      <c r="F4" s="13" t="s">
        <v>39</v>
      </c>
      <c r="G4" s="13" t="s">
        <v>647</v>
      </c>
      <c r="I4" s="13" t="s">
        <v>3</v>
      </c>
      <c r="J4" s="13" t="s">
        <v>640</v>
      </c>
      <c r="K4" s="13" t="s">
        <v>641</v>
      </c>
      <c r="L4" s="13" t="s">
        <v>642</v>
      </c>
      <c r="M4" s="13" t="s">
        <v>93</v>
      </c>
    </row>
    <row r="5" spans="1:13" x14ac:dyDescent="0.3">
      <c r="A5" t="s">
        <v>606</v>
      </c>
      <c r="B5">
        <f>COUNTIFS('Analysis Data'!$D$2:$D$181,$A5,'Analysis Data'!$P$2:$P$181,B$4)</f>
        <v>10</v>
      </c>
      <c r="C5">
        <f>COUNTIFS('Analysis Data'!$D$2:$D$181,$A5,'Analysis Data'!$P$2:$P$181,C$4)</f>
        <v>2</v>
      </c>
      <c r="D5">
        <f>COUNTIFS('Analysis Data'!$D$2:$D$181,$A5,'Analysis Data'!$P$2:$P$181,D$4)</f>
        <v>1</v>
      </c>
      <c r="E5">
        <f>COUNTIFS('Analysis Data'!$D$2:$D$181,$A5,'Analysis Data'!$P$2:$P$181,E$4)</f>
        <v>1</v>
      </c>
      <c r="F5">
        <f>COUNTIFS('Analysis Data'!$D$2:$D$181,$A5,'Analysis Data'!$P$2:$P$181,F$4)</f>
        <v>1</v>
      </c>
      <c r="G5">
        <f t="shared" ref="G5:G16" si="0">SUM(B5:F5)</f>
        <v>15</v>
      </c>
      <c r="I5" t="s">
        <v>606</v>
      </c>
      <c r="J5">
        <f>COUNTIFS('Analysis Data'!$D$2:$D$181,$I5,'Analysis Data'!$R$2:$R$181,J$4)</f>
        <v>9</v>
      </c>
      <c r="K5">
        <f>COUNTIFS('Analysis Data'!$D$2:$D$181,$I5,'Analysis Data'!$R$2:$R$181,K$4)</f>
        <v>4</v>
      </c>
      <c r="L5">
        <f>COUNTIFS('Analysis Data'!$D$2:$D$181,$I5,'Analysis Data'!$R$2:$R$181,L$4)</f>
        <v>1</v>
      </c>
      <c r="M5">
        <f>COUNTIFS('Analysis Data'!$D$2:$D$181,$I5,'Analysis Data'!$R$2:$R$181,M$4)</f>
        <v>1</v>
      </c>
    </row>
    <row r="6" spans="1:13" x14ac:dyDescent="0.3">
      <c r="A6" t="s">
        <v>607</v>
      </c>
      <c r="B6">
        <f>COUNTIFS('Analysis Data'!$D$2:$D$181,$A6,'Analysis Data'!$P$2:$P$181,B$4)</f>
        <v>5</v>
      </c>
      <c r="C6">
        <f>COUNTIFS('Analysis Data'!$D$2:$D$181,$A6,'Analysis Data'!$P$2:$P$181,C$4)</f>
        <v>7</v>
      </c>
      <c r="D6">
        <f>COUNTIFS('Analysis Data'!$D$2:$D$181,$A6,'Analysis Data'!$P$2:$P$181,D$4)</f>
        <v>1</v>
      </c>
      <c r="E6">
        <f>COUNTIFS('Analysis Data'!$D$2:$D$181,$A6,'Analysis Data'!$P$2:$P$181,E$4)</f>
        <v>2</v>
      </c>
      <c r="F6">
        <f>COUNTIFS('Analysis Data'!$D$2:$D$181,$A6,'Analysis Data'!$P$2:$P$181,F$4)</f>
        <v>0</v>
      </c>
      <c r="G6">
        <f t="shared" si="0"/>
        <v>15</v>
      </c>
      <c r="I6" t="s">
        <v>607</v>
      </c>
      <c r="J6">
        <f>COUNTIFS('Analysis Data'!$D$2:$D$181,$I6,'Analysis Data'!$R$2:$R$181,J$4)</f>
        <v>5</v>
      </c>
      <c r="K6">
        <f>COUNTIFS('Analysis Data'!$D$2:$D$181,$I6,'Analysis Data'!$R$2:$R$181,K$4)</f>
        <v>8</v>
      </c>
      <c r="L6">
        <f>COUNTIFS('Analysis Data'!$D$2:$D$181,$I6,'Analysis Data'!$R$2:$R$181,L$4)</f>
        <v>1</v>
      </c>
      <c r="M6">
        <f>COUNTIFS('Analysis Data'!$D$2:$D$181,$I6,'Analysis Data'!$R$2:$R$181,M$4)</f>
        <v>1</v>
      </c>
    </row>
    <row r="7" spans="1:13" x14ac:dyDescent="0.3">
      <c r="A7" t="s">
        <v>608</v>
      </c>
      <c r="B7">
        <f>COUNTIFS('Analysis Data'!$D$2:$D$181,$A7,'Analysis Data'!$P$2:$P$181,B$4)</f>
        <v>5</v>
      </c>
      <c r="C7">
        <f>COUNTIFS('Analysis Data'!$D$2:$D$181,$A7,'Analysis Data'!$P$2:$P$181,C$4)</f>
        <v>6</v>
      </c>
      <c r="D7">
        <f>COUNTIFS('Analysis Data'!$D$2:$D$181,$A7,'Analysis Data'!$P$2:$P$181,D$4)</f>
        <v>1</v>
      </c>
      <c r="E7">
        <f>COUNTIFS('Analysis Data'!$D$2:$D$181,$A7,'Analysis Data'!$P$2:$P$181,E$4)</f>
        <v>3</v>
      </c>
      <c r="F7">
        <f>COUNTIFS('Analysis Data'!$D$2:$D$181,$A7,'Analysis Data'!$P$2:$P$181,F$4)</f>
        <v>0</v>
      </c>
      <c r="G7">
        <f t="shared" si="0"/>
        <v>15</v>
      </c>
      <c r="I7" t="s">
        <v>608</v>
      </c>
      <c r="J7">
        <f>COUNTIFS('Analysis Data'!$D$2:$D$181,$I7,'Analysis Data'!$R$2:$R$181,J$4)</f>
        <v>6</v>
      </c>
      <c r="K7">
        <f>COUNTIFS('Analysis Data'!$D$2:$D$181,$I7,'Analysis Data'!$R$2:$R$181,K$4)</f>
        <v>4</v>
      </c>
      <c r="L7">
        <f>COUNTIFS('Analysis Data'!$D$2:$D$181,$I7,'Analysis Data'!$R$2:$R$181,L$4)</f>
        <v>2</v>
      </c>
      <c r="M7">
        <f>COUNTIFS('Analysis Data'!$D$2:$D$181,$I7,'Analysis Data'!$R$2:$R$181,M$4)</f>
        <v>3</v>
      </c>
    </row>
    <row r="8" spans="1:13" x14ac:dyDescent="0.3">
      <c r="A8" t="s">
        <v>609</v>
      </c>
      <c r="B8">
        <f>COUNTIFS('Analysis Data'!$D$2:$D$181,$A8,'Analysis Data'!$P$2:$P$181,B$4)</f>
        <v>7</v>
      </c>
      <c r="C8">
        <f>COUNTIFS('Analysis Data'!$D$2:$D$181,$A8,'Analysis Data'!$P$2:$P$181,C$4)</f>
        <v>5</v>
      </c>
      <c r="D8">
        <f>COUNTIFS('Analysis Data'!$D$2:$D$181,$A8,'Analysis Data'!$P$2:$P$181,D$4)</f>
        <v>1</v>
      </c>
      <c r="E8">
        <f>COUNTIFS('Analysis Data'!$D$2:$D$181,$A8,'Analysis Data'!$P$2:$P$181,E$4)</f>
        <v>2</v>
      </c>
      <c r="F8">
        <f>COUNTIFS('Analysis Data'!$D$2:$D$181,$A8,'Analysis Data'!$P$2:$P$181,F$4)</f>
        <v>0</v>
      </c>
      <c r="G8">
        <f t="shared" si="0"/>
        <v>15</v>
      </c>
      <c r="I8" t="s">
        <v>609</v>
      </c>
      <c r="J8">
        <f>COUNTIFS('Analysis Data'!$D$2:$D$181,$I8,'Analysis Data'!$R$2:$R$181,J$4)</f>
        <v>5</v>
      </c>
      <c r="K8">
        <f>COUNTIFS('Analysis Data'!$D$2:$D$181,$I8,'Analysis Data'!$R$2:$R$181,K$4)</f>
        <v>6</v>
      </c>
      <c r="L8">
        <f>COUNTIFS('Analysis Data'!$D$2:$D$181,$I8,'Analysis Data'!$R$2:$R$181,L$4)</f>
        <v>1</v>
      </c>
      <c r="M8">
        <f>COUNTIFS('Analysis Data'!$D$2:$D$181,$I8,'Analysis Data'!$R$2:$R$181,M$4)</f>
        <v>3</v>
      </c>
    </row>
    <row r="9" spans="1:13" x14ac:dyDescent="0.3">
      <c r="A9" t="s">
        <v>599</v>
      </c>
      <c r="B9">
        <f>COUNTIFS('Analysis Data'!$D$2:$D$181,$A9,'Analysis Data'!$P$2:$P$181,B$4)</f>
        <v>9</v>
      </c>
      <c r="C9">
        <f>COUNTIFS('Analysis Data'!$D$2:$D$181,$A9,'Analysis Data'!$P$2:$P$181,C$4)</f>
        <v>2</v>
      </c>
      <c r="D9">
        <f>COUNTIFS('Analysis Data'!$D$2:$D$181,$A9,'Analysis Data'!$P$2:$P$181,D$4)</f>
        <v>1</v>
      </c>
      <c r="E9">
        <f>COUNTIFS('Analysis Data'!$D$2:$D$181,$A9,'Analysis Data'!$P$2:$P$181,E$4)</f>
        <v>2</v>
      </c>
      <c r="F9">
        <f>COUNTIFS('Analysis Data'!$D$2:$D$181,$A9,'Analysis Data'!$P$2:$P$181,F$4)</f>
        <v>1</v>
      </c>
      <c r="G9">
        <f t="shared" si="0"/>
        <v>15</v>
      </c>
      <c r="I9" t="s">
        <v>599</v>
      </c>
      <c r="J9">
        <f>COUNTIFS('Analysis Data'!$D$2:$D$181,$I9,'Analysis Data'!$R$2:$R$181,J$4)</f>
        <v>9</v>
      </c>
      <c r="K9">
        <f>COUNTIFS('Analysis Data'!$D$2:$D$181,$I9,'Analysis Data'!$R$2:$R$181,K$4)</f>
        <v>2</v>
      </c>
      <c r="L9">
        <f>COUNTIFS('Analysis Data'!$D$2:$D$181,$I9,'Analysis Data'!$R$2:$R$181,L$4)</f>
        <v>4</v>
      </c>
      <c r="M9">
        <f>COUNTIFS('Analysis Data'!$D$2:$D$181,$I9,'Analysis Data'!$R$2:$R$181,M$4)</f>
        <v>0</v>
      </c>
    </row>
    <row r="10" spans="1:13" x14ac:dyDescent="0.3">
      <c r="A10" t="s">
        <v>600</v>
      </c>
      <c r="B10">
        <f>COUNTIFS('Analysis Data'!$D$2:$D$181,$A10,'Analysis Data'!$P$2:$P$181,B$4)</f>
        <v>9</v>
      </c>
      <c r="C10">
        <f>COUNTIFS('Analysis Data'!$D$2:$D$181,$A10,'Analysis Data'!$P$2:$P$181,C$4)</f>
        <v>2</v>
      </c>
      <c r="D10">
        <f>COUNTIFS('Analysis Data'!$D$2:$D$181,$A10,'Analysis Data'!$P$2:$P$181,D$4)</f>
        <v>1</v>
      </c>
      <c r="E10">
        <f>COUNTIFS('Analysis Data'!$D$2:$D$181,$A10,'Analysis Data'!$P$2:$P$181,E$4)</f>
        <v>1</v>
      </c>
      <c r="F10">
        <f>COUNTIFS('Analysis Data'!$D$2:$D$181,$A10,'Analysis Data'!$P$2:$P$181,F$4)</f>
        <v>2</v>
      </c>
      <c r="G10">
        <f t="shared" si="0"/>
        <v>15</v>
      </c>
      <c r="I10" t="s">
        <v>600</v>
      </c>
      <c r="J10">
        <f>COUNTIFS('Analysis Data'!$D$2:$D$181,$I10,'Analysis Data'!$R$2:$R$181,J$4)</f>
        <v>6</v>
      </c>
      <c r="K10">
        <f>COUNTIFS('Analysis Data'!$D$2:$D$181,$I10,'Analysis Data'!$R$2:$R$181,K$4)</f>
        <v>4</v>
      </c>
      <c r="L10">
        <f>COUNTIFS('Analysis Data'!$D$2:$D$181,$I10,'Analysis Data'!$R$2:$R$181,L$4)</f>
        <v>3</v>
      </c>
      <c r="M10">
        <f>COUNTIFS('Analysis Data'!$D$2:$D$181,$I10,'Analysis Data'!$R$2:$R$181,M$4)</f>
        <v>2</v>
      </c>
    </row>
    <row r="11" spans="1:13" x14ac:dyDescent="0.3">
      <c r="A11" t="s">
        <v>601</v>
      </c>
      <c r="B11">
        <f>COUNTIFS('Analysis Data'!$D$2:$D$181,$A11,'Analysis Data'!$P$2:$P$181,B$4)</f>
        <v>8</v>
      </c>
      <c r="C11">
        <f>COUNTIFS('Analysis Data'!$D$2:$D$181,$A11,'Analysis Data'!$P$2:$P$181,C$4)</f>
        <v>2</v>
      </c>
      <c r="D11">
        <f>COUNTIFS('Analysis Data'!$D$2:$D$181,$A11,'Analysis Data'!$P$2:$P$181,D$4)</f>
        <v>2</v>
      </c>
      <c r="E11">
        <f>COUNTIFS('Analysis Data'!$D$2:$D$181,$A11,'Analysis Data'!$P$2:$P$181,E$4)</f>
        <v>2</v>
      </c>
      <c r="F11">
        <f>COUNTIFS('Analysis Data'!$D$2:$D$181,$A11,'Analysis Data'!$P$2:$P$181,F$4)</f>
        <v>1</v>
      </c>
      <c r="G11">
        <f t="shared" si="0"/>
        <v>15</v>
      </c>
      <c r="I11" t="s">
        <v>601</v>
      </c>
      <c r="J11">
        <f>COUNTIFS('Analysis Data'!$D$2:$D$181,$I11,'Analysis Data'!$R$2:$R$181,J$4)</f>
        <v>5</v>
      </c>
      <c r="K11">
        <f>COUNTIFS('Analysis Data'!$D$2:$D$181,$I11,'Analysis Data'!$R$2:$R$181,K$4)</f>
        <v>8</v>
      </c>
      <c r="L11">
        <f>COUNTIFS('Analysis Data'!$D$2:$D$181,$I11,'Analysis Data'!$R$2:$R$181,L$4)</f>
        <v>1</v>
      </c>
      <c r="M11">
        <f>COUNTIFS('Analysis Data'!$D$2:$D$181,$I11,'Analysis Data'!$R$2:$R$181,M$4)</f>
        <v>1</v>
      </c>
    </row>
    <row r="12" spans="1:13" x14ac:dyDescent="0.3">
      <c r="A12" t="s">
        <v>602</v>
      </c>
      <c r="B12">
        <f>COUNTIFS('Analysis Data'!$D$2:$D$181,$A12,'Analysis Data'!$P$2:$P$181,B$4)</f>
        <v>10</v>
      </c>
      <c r="C12">
        <f>COUNTIFS('Analysis Data'!$D$2:$D$181,$A12,'Analysis Data'!$P$2:$P$181,C$4)</f>
        <v>5</v>
      </c>
      <c r="D12">
        <f>COUNTIFS('Analysis Data'!$D$2:$D$181,$A12,'Analysis Data'!$P$2:$P$181,D$4)</f>
        <v>0</v>
      </c>
      <c r="E12">
        <f>COUNTIFS('Analysis Data'!$D$2:$D$181,$A12,'Analysis Data'!$P$2:$P$181,E$4)</f>
        <v>0</v>
      </c>
      <c r="F12">
        <f>COUNTIFS('Analysis Data'!$D$2:$D$181,$A12,'Analysis Data'!$P$2:$P$181,F$4)</f>
        <v>0</v>
      </c>
      <c r="G12">
        <f t="shared" si="0"/>
        <v>15</v>
      </c>
      <c r="I12" t="s">
        <v>602</v>
      </c>
      <c r="J12">
        <f>COUNTIFS('Analysis Data'!$D$2:$D$181,$I12,'Analysis Data'!$R$2:$R$181,J$4)</f>
        <v>8</v>
      </c>
      <c r="K12">
        <f>COUNTIFS('Analysis Data'!$D$2:$D$181,$I12,'Analysis Data'!$R$2:$R$181,K$4)</f>
        <v>6</v>
      </c>
      <c r="L12">
        <f>COUNTIFS('Analysis Data'!$D$2:$D$181,$I12,'Analysis Data'!$R$2:$R$181,L$4)</f>
        <v>1</v>
      </c>
      <c r="M12">
        <f>COUNTIFS('Analysis Data'!$D$2:$D$181,$I12,'Analysis Data'!$R$2:$R$181,M$4)</f>
        <v>0</v>
      </c>
    </row>
    <row r="13" spans="1:13" x14ac:dyDescent="0.3">
      <c r="A13" t="s">
        <v>603</v>
      </c>
      <c r="B13">
        <f>COUNTIFS('Analysis Data'!$D$2:$D$181,$A13,'Analysis Data'!$P$2:$P$181,B$4)</f>
        <v>8</v>
      </c>
      <c r="C13">
        <f>COUNTIFS('Analysis Data'!$D$2:$D$181,$A13,'Analysis Data'!$P$2:$P$181,C$4)</f>
        <v>3</v>
      </c>
      <c r="D13">
        <f>COUNTIFS('Analysis Data'!$D$2:$D$181,$A13,'Analysis Data'!$P$2:$P$181,D$4)</f>
        <v>3</v>
      </c>
      <c r="E13">
        <f>COUNTIFS('Analysis Data'!$D$2:$D$181,$A13,'Analysis Data'!$P$2:$P$181,E$4)</f>
        <v>0</v>
      </c>
      <c r="F13">
        <f>COUNTIFS('Analysis Data'!$D$2:$D$181,$A13,'Analysis Data'!$P$2:$P$181,F$4)</f>
        <v>1</v>
      </c>
      <c r="G13">
        <f t="shared" si="0"/>
        <v>15</v>
      </c>
      <c r="I13" t="s">
        <v>603</v>
      </c>
      <c r="J13">
        <f>COUNTIFS('Analysis Data'!$D$2:$D$181,$I13,'Analysis Data'!$R$2:$R$181,J$4)</f>
        <v>10</v>
      </c>
      <c r="K13">
        <f>COUNTIFS('Analysis Data'!$D$2:$D$181,$I13,'Analysis Data'!$R$2:$R$181,K$4)</f>
        <v>4</v>
      </c>
      <c r="L13">
        <f>COUNTIFS('Analysis Data'!$D$2:$D$181,$I13,'Analysis Data'!$R$2:$R$181,L$4)</f>
        <v>1</v>
      </c>
      <c r="M13">
        <f>COUNTIFS('Analysis Data'!$D$2:$D$181,$I13,'Analysis Data'!$R$2:$R$181,M$4)</f>
        <v>0</v>
      </c>
    </row>
    <row r="14" spans="1:13" x14ac:dyDescent="0.3">
      <c r="A14" t="s">
        <v>88</v>
      </c>
      <c r="B14">
        <f>COUNTIFS('Analysis Data'!$D$2:$D$181,$A14,'Analysis Data'!$P$2:$P$181,B$4)</f>
        <v>9</v>
      </c>
      <c r="C14">
        <f>COUNTIFS('Analysis Data'!$D$2:$D$181,$A14,'Analysis Data'!$P$2:$P$181,C$4)</f>
        <v>2</v>
      </c>
      <c r="D14">
        <f>COUNTIFS('Analysis Data'!$D$2:$D$181,$A14,'Analysis Data'!$P$2:$P$181,D$4)</f>
        <v>2</v>
      </c>
      <c r="E14">
        <f>COUNTIFS('Analysis Data'!$D$2:$D$181,$A14,'Analysis Data'!$P$2:$P$181,E$4)</f>
        <v>1</v>
      </c>
      <c r="F14">
        <f>COUNTIFS('Analysis Data'!$D$2:$D$181,$A14,'Analysis Data'!$P$2:$P$181,F$4)</f>
        <v>1</v>
      </c>
      <c r="G14">
        <f t="shared" si="0"/>
        <v>15</v>
      </c>
      <c r="I14" t="s">
        <v>88</v>
      </c>
      <c r="J14">
        <f>COUNTIFS('Analysis Data'!$D$2:$D$181,$I14,'Analysis Data'!$R$2:$R$181,J$4)</f>
        <v>11</v>
      </c>
      <c r="K14">
        <f>COUNTIFS('Analysis Data'!$D$2:$D$181,$I14,'Analysis Data'!$R$2:$R$181,K$4)</f>
        <v>1</v>
      </c>
      <c r="L14">
        <f>COUNTIFS('Analysis Data'!$D$2:$D$181,$I14,'Analysis Data'!$R$2:$R$181,L$4)</f>
        <v>2</v>
      </c>
      <c r="M14">
        <f>COUNTIFS('Analysis Data'!$D$2:$D$181,$I14,'Analysis Data'!$R$2:$R$181,M$4)</f>
        <v>1</v>
      </c>
    </row>
    <row r="15" spans="1:13" x14ac:dyDescent="0.3">
      <c r="A15" t="s">
        <v>604</v>
      </c>
      <c r="B15">
        <f>COUNTIFS('Analysis Data'!$D$2:$D$181,$A15,'Analysis Data'!$P$2:$P$181,B$4)</f>
        <v>10</v>
      </c>
      <c r="C15">
        <f>COUNTIFS('Analysis Data'!$D$2:$D$181,$A15,'Analysis Data'!$P$2:$P$181,C$4)</f>
        <v>1</v>
      </c>
      <c r="D15">
        <f>COUNTIFS('Analysis Data'!$D$2:$D$181,$A15,'Analysis Data'!$P$2:$P$181,D$4)</f>
        <v>2</v>
      </c>
      <c r="E15">
        <f>COUNTIFS('Analysis Data'!$D$2:$D$181,$A15,'Analysis Data'!$P$2:$P$181,E$4)</f>
        <v>0</v>
      </c>
      <c r="F15">
        <f>COUNTIFS('Analysis Data'!$D$2:$D$181,$A15,'Analysis Data'!$P$2:$P$181,F$4)</f>
        <v>2</v>
      </c>
      <c r="G15">
        <f t="shared" si="0"/>
        <v>15</v>
      </c>
      <c r="I15" t="s">
        <v>604</v>
      </c>
      <c r="J15">
        <f>COUNTIFS('Analysis Data'!$D$2:$D$181,$I15,'Analysis Data'!$R$2:$R$181,J$4)</f>
        <v>6</v>
      </c>
      <c r="K15">
        <f>COUNTIFS('Analysis Data'!$D$2:$D$181,$I15,'Analysis Data'!$R$2:$R$181,K$4)</f>
        <v>6</v>
      </c>
      <c r="L15">
        <f>COUNTIFS('Analysis Data'!$D$2:$D$181,$I15,'Analysis Data'!$R$2:$R$181,L$4)</f>
        <v>3</v>
      </c>
      <c r="M15">
        <f>COUNTIFS('Analysis Data'!$D$2:$D$181,$I15,'Analysis Data'!$R$2:$R$181,M$4)</f>
        <v>0</v>
      </c>
    </row>
    <row r="16" spans="1:13" x14ac:dyDescent="0.3">
      <c r="A16" t="s">
        <v>605</v>
      </c>
      <c r="B16">
        <f>COUNTIFS('Analysis Data'!$D$2:$D$181,$A16,'Analysis Data'!$P$2:$P$181,B$4)</f>
        <v>13</v>
      </c>
      <c r="C16">
        <f>COUNTIFS('Analysis Data'!$D$2:$D$181,$A16,'Analysis Data'!$P$2:$P$181,C$4)</f>
        <v>1</v>
      </c>
      <c r="D16">
        <f>COUNTIFS('Analysis Data'!$D$2:$D$181,$A16,'Analysis Data'!$P$2:$P$181,D$4)</f>
        <v>1</v>
      </c>
      <c r="E16">
        <f>COUNTIFS('Analysis Data'!$D$2:$D$181,$A16,'Analysis Data'!$P$2:$P$181,E$4)</f>
        <v>0</v>
      </c>
      <c r="F16">
        <f>COUNTIFS('Analysis Data'!$D$2:$D$181,$A16,'Analysis Data'!$P$2:$P$181,F$4)</f>
        <v>0</v>
      </c>
      <c r="G16">
        <f t="shared" si="0"/>
        <v>15</v>
      </c>
      <c r="I16" t="s">
        <v>605</v>
      </c>
      <c r="J16">
        <f>COUNTIFS('Analysis Data'!$D$2:$D$181,$I16,'Analysis Data'!$R$2:$R$181,J$4)</f>
        <v>9</v>
      </c>
      <c r="K16">
        <f>COUNTIFS('Analysis Data'!$D$2:$D$181,$I16,'Analysis Data'!$R$2:$R$181,K$4)</f>
        <v>4</v>
      </c>
      <c r="L16">
        <f>COUNTIFS('Analysis Data'!$D$2:$D$181,$I16,'Analysis Data'!$R$2:$R$181,L$4)</f>
        <v>1</v>
      </c>
      <c r="M16">
        <f>COUNTIFS('Analysis Data'!$D$2:$D$181,$I16,'Analysis Data'!$R$2:$R$181,M$4)</f>
        <v>1</v>
      </c>
    </row>
    <row r="20" spans="1:13" x14ac:dyDescent="0.3">
      <c r="A20" s="13" t="s">
        <v>3</v>
      </c>
      <c r="B20" s="13" t="s">
        <v>663</v>
      </c>
      <c r="C20" s="13" t="s">
        <v>664</v>
      </c>
      <c r="E20" s="29" t="s">
        <v>651</v>
      </c>
      <c r="F20" s="29"/>
      <c r="G20" s="29"/>
      <c r="H20" s="29"/>
      <c r="I20" s="29"/>
      <c r="J20" s="29"/>
      <c r="K20" s="29"/>
      <c r="L20" s="29"/>
      <c r="M20" s="29"/>
    </row>
    <row r="21" spans="1:13" x14ac:dyDescent="0.3">
      <c r="A21" t="s">
        <v>606</v>
      </c>
      <c r="B21">
        <f>COUNTIFS('Analysis Data'!$D$2:$D$181,$A21,'Analysis Data'!$L$2:$L$181,"Yes")</f>
        <v>10</v>
      </c>
      <c r="C21">
        <f>COUNTIFS('Analysis Data'!$D$2:$D$181,$A21,'Analysis Data'!$L$2:$L$181,"No")</f>
        <v>5</v>
      </c>
      <c r="E21" s="36" t="s">
        <v>665</v>
      </c>
      <c r="F21" s="36"/>
      <c r="G21" s="36"/>
      <c r="H21" s="36"/>
      <c r="I21" s="36"/>
      <c r="J21" s="36"/>
      <c r="K21" s="36"/>
      <c r="L21" s="36"/>
      <c r="M21" s="36"/>
    </row>
    <row r="22" spans="1:13" x14ac:dyDescent="0.3">
      <c r="A22" t="s">
        <v>607</v>
      </c>
      <c r="B22">
        <f>COUNTIFS('Analysis Data'!$D$2:$D$181,$A22,'Analysis Data'!$L$2:$L$181,"Yes")</f>
        <v>10</v>
      </c>
      <c r="C22">
        <f>COUNTIFS('Analysis Data'!$D$2:$D$181,$A22,'Analysis Data'!$L$2:$L$181,"No")</f>
        <v>5</v>
      </c>
      <c r="E22" s="36"/>
      <c r="F22" s="36"/>
      <c r="G22" s="36"/>
      <c r="H22" s="36"/>
      <c r="I22" s="36"/>
      <c r="J22" s="36"/>
      <c r="K22" s="36"/>
      <c r="L22" s="36"/>
      <c r="M22" s="36"/>
    </row>
    <row r="23" spans="1:13" x14ac:dyDescent="0.3">
      <c r="A23" t="s">
        <v>608</v>
      </c>
      <c r="B23">
        <f>COUNTIFS('Analysis Data'!$D$2:$D$181,$A23,'Analysis Data'!$L$2:$L$181,"Yes")</f>
        <v>7</v>
      </c>
      <c r="C23">
        <f>COUNTIFS('Analysis Data'!$D$2:$D$181,$A23,'Analysis Data'!$L$2:$L$181,"No")</f>
        <v>8</v>
      </c>
      <c r="E23" s="36"/>
      <c r="F23" s="36"/>
      <c r="G23" s="36"/>
      <c r="H23" s="36"/>
      <c r="I23" s="36"/>
      <c r="J23" s="36"/>
      <c r="K23" s="36"/>
      <c r="L23" s="36"/>
      <c r="M23" s="36"/>
    </row>
    <row r="24" spans="1:13" x14ac:dyDescent="0.3">
      <c r="A24" t="s">
        <v>609</v>
      </c>
      <c r="B24">
        <f>COUNTIFS('Analysis Data'!$D$2:$D$181,$A24,'Analysis Data'!$L$2:$L$181,"Yes")</f>
        <v>9</v>
      </c>
      <c r="C24">
        <f>COUNTIFS('Analysis Data'!$D$2:$D$181,$A24,'Analysis Data'!$L$2:$L$181,"No")</f>
        <v>6</v>
      </c>
      <c r="E24" s="36"/>
      <c r="F24" s="36"/>
      <c r="G24" s="36"/>
      <c r="H24" s="36"/>
      <c r="I24" s="36"/>
      <c r="J24" s="36"/>
      <c r="K24" s="36"/>
      <c r="L24" s="36"/>
      <c r="M24" s="36"/>
    </row>
    <row r="25" spans="1:13" x14ac:dyDescent="0.3">
      <c r="A25" t="s">
        <v>599</v>
      </c>
      <c r="B25">
        <f>COUNTIFS('Analysis Data'!$D$2:$D$181,$A25,'Analysis Data'!$L$2:$L$181,"Yes")</f>
        <v>11</v>
      </c>
      <c r="C25">
        <f>COUNTIFS('Analysis Data'!$D$2:$D$181,$A25,'Analysis Data'!$L$2:$L$181,"No")</f>
        <v>4</v>
      </c>
      <c r="E25" s="36"/>
      <c r="F25" s="36"/>
      <c r="G25" s="36"/>
      <c r="H25" s="36"/>
      <c r="I25" s="36"/>
      <c r="J25" s="36"/>
      <c r="K25" s="36"/>
      <c r="L25" s="36"/>
      <c r="M25" s="36"/>
    </row>
    <row r="26" spans="1:13" x14ac:dyDescent="0.3">
      <c r="A26" t="s">
        <v>600</v>
      </c>
      <c r="B26">
        <f>COUNTIFS('Analysis Data'!$D$2:$D$181,$A26,'Analysis Data'!$L$2:$L$181,"Yes")</f>
        <v>12</v>
      </c>
      <c r="C26">
        <f>COUNTIFS('Analysis Data'!$D$2:$D$181,$A26,'Analysis Data'!$L$2:$L$181,"No")</f>
        <v>3</v>
      </c>
      <c r="E26" s="36"/>
      <c r="F26" s="36"/>
      <c r="G26" s="36"/>
      <c r="H26" s="36"/>
      <c r="I26" s="36"/>
      <c r="J26" s="36"/>
      <c r="K26" s="36"/>
      <c r="L26" s="36"/>
      <c r="M26" s="36"/>
    </row>
    <row r="27" spans="1:13" x14ac:dyDescent="0.3">
      <c r="A27" t="s">
        <v>601</v>
      </c>
      <c r="B27">
        <f>COUNTIFS('Analysis Data'!$D$2:$D$181,$A27,'Analysis Data'!$L$2:$L$181,"Yes")</f>
        <v>11</v>
      </c>
      <c r="C27">
        <f>COUNTIFS('Analysis Data'!$D$2:$D$181,$A27,'Analysis Data'!$L$2:$L$181,"No")</f>
        <v>4</v>
      </c>
      <c r="E27" s="36"/>
      <c r="F27" s="36"/>
      <c r="G27" s="36"/>
      <c r="H27" s="36"/>
      <c r="I27" s="36"/>
      <c r="J27" s="36"/>
      <c r="K27" s="36"/>
      <c r="L27" s="36"/>
      <c r="M27" s="36"/>
    </row>
    <row r="28" spans="1:13" x14ac:dyDescent="0.3">
      <c r="A28" t="s">
        <v>602</v>
      </c>
      <c r="B28">
        <f>COUNTIFS('Analysis Data'!$D$2:$D$181,$A28,'Analysis Data'!$L$2:$L$181,"Yes")</f>
        <v>11</v>
      </c>
      <c r="C28">
        <f>COUNTIFS('Analysis Data'!$D$2:$D$181,$A28,'Analysis Data'!$L$2:$L$181,"No")</f>
        <v>4</v>
      </c>
      <c r="E28" s="36"/>
      <c r="F28" s="36"/>
      <c r="G28" s="36"/>
      <c r="H28" s="36"/>
      <c r="I28" s="36"/>
      <c r="J28" s="36"/>
      <c r="K28" s="36"/>
      <c r="L28" s="36"/>
      <c r="M28" s="36"/>
    </row>
    <row r="29" spans="1:13" x14ac:dyDescent="0.3">
      <c r="A29" t="s">
        <v>603</v>
      </c>
      <c r="B29">
        <f>COUNTIFS('Analysis Data'!$D$2:$D$181,$A29,'Analysis Data'!$L$2:$L$181,"Yes")</f>
        <v>9</v>
      </c>
      <c r="C29">
        <f>COUNTIFS('Analysis Data'!$D$2:$D$181,$A29,'Analysis Data'!$L$2:$L$181,"No")</f>
        <v>6</v>
      </c>
      <c r="E29" s="36"/>
      <c r="F29" s="36"/>
      <c r="G29" s="36"/>
      <c r="H29" s="36"/>
      <c r="I29" s="36"/>
      <c r="J29" s="36"/>
      <c r="K29" s="36"/>
      <c r="L29" s="36"/>
      <c r="M29" s="36"/>
    </row>
    <row r="30" spans="1:13" x14ac:dyDescent="0.3">
      <c r="A30" t="s">
        <v>88</v>
      </c>
      <c r="B30">
        <f>COUNTIFS('Analysis Data'!$D$2:$D$181,$A30,'Analysis Data'!$L$2:$L$181,"Yes")</f>
        <v>6</v>
      </c>
      <c r="C30">
        <f>COUNTIFS('Analysis Data'!$D$2:$D$181,$A30,'Analysis Data'!$L$2:$L$181,"No")</f>
        <v>9</v>
      </c>
      <c r="E30" s="36"/>
      <c r="F30" s="36"/>
      <c r="G30" s="36"/>
      <c r="H30" s="36"/>
      <c r="I30" s="36"/>
      <c r="J30" s="36"/>
      <c r="K30" s="36"/>
      <c r="L30" s="36"/>
      <c r="M30" s="36"/>
    </row>
    <row r="31" spans="1:13" x14ac:dyDescent="0.3">
      <c r="A31" t="s">
        <v>604</v>
      </c>
      <c r="B31">
        <f>COUNTIFS('Analysis Data'!$D$2:$D$181,$A31,'Analysis Data'!$L$2:$L$181,"Yes")</f>
        <v>11</v>
      </c>
      <c r="C31">
        <f>COUNTIFS('Analysis Data'!$D$2:$D$181,$A31,'Analysis Data'!$L$2:$L$181,"No")</f>
        <v>4</v>
      </c>
      <c r="E31" s="36"/>
      <c r="F31" s="36"/>
      <c r="G31" s="36"/>
      <c r="H31" s="36"/>
      <c r="I31" s="36"/>
      <c r="J31" s="36"/>
      <c r="K31" s="36"/>
      <c r="L31" s="36"/>
      <c r="M31" s="36"/>
    </row>
    <row r="32" spans="1:13" x14ac:dyDescent="0.3">
      <c r="A32" t="s">
        <v>605</v>
      </c>
      <c r="B32">
        <f>COUNTIFS('Analysis Data'!$D$2:$D$181,$A32,'Analysis Data'!$L$2:$L$181,"Yes")</f>
        <v>14</v>
      </c>
      <c r="C32">
        <f>COUNTIFS('Analysis Data'!$D$2:$D$181,$A32,'Analysis Data'!$L$2:$L$181,"No")</f>
        <v>1</v>
      </c>
    </row>
  </sheetData>
  <mergeCells count="3">
    <mergeCell ref="A1:M2"/>
    <mergeCell ref="E20:M20"/>
    <mergeCell ref="E21:M3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3"/>
  <sheetViews>
    <sheetView zoomScale="72" zoomScaleNormal="72" workbookViewId="0">
      <selection sqref="A1:F2"/>
    </sheetView>
  </sheetViews>
  <sheetFormatPr defaultRowHeight="14.4" x14ac:dyDescent="0.3"/>
  <cols>
    <col min="1" max="1" width="29" customWidth="1"/>
    <col min="2" max="3" width="40" customWidth="1"/>
    <col min="4" max="4" width="28" customWidth="1"/>
    <col min="5" max="5" width="30" customWidth="1"/>
    <col min="6" max="6" width="48" customWidth="1"/>
  </cols>
  <sheetData>
    <row r="1" spans="1:6" ht="19.2" customHeight="1" x14ac:dyDescent="0.3">
      <c r="A1" s="35" t="s">
        <v>666</v>
      </c>
      <c r="B1" s="35"/>
      <c r="C1" s="35"/>
      <c r="D1" s="35"/>
      <c r="E1" s="35"/>
      <c r="F1" s="35"/>
    </row>
    <row r="2" spans="1:6" ht="19.2" customHeight="1" x14ac:dyDescent="0.3">
      <c r="A2" s="35"/>
      <c r="B2" s="35"/>
      <c r="C2" s="35"/>
      <c r="D2" s="35"/>
      <c r="E2" s="35"/>
      <c r="F2" s="35"/>
    </row>
    <row r="4" spans="1:6" x14ac:dyDescent="0.3">
      <c r="A4" s="14" t="s">
        <v>667</v>
      </c>
      <c r="B4" s="14" t="s">
        <v>668</v>
      </c>
      <c r="C4" s="14" t="s">
        <v>669</v>
      </c>
      <c r="D4" s="14" t="s">
        <v>670</v>
      </c>
      <c r="E4" s="14" t="s">
        <v>671</v>
      </c>
      <c r="F4" s="14" t="s">
        <v>672</v>
      </c>
    </row>
    <row r="5" spans="1:6" ht="43.2" x14ac:dyDescent="0.3">
      <c r="A5" s="22" t="s">
        <v>16</v>
      </c>
      <c r="B5" s="22" t="s">
        <v>673</v>
      </c>
      <c r="C5" s="22" t="s">
        <v>674</v>
      </c>
      <c r="D5" s="22" t="s">
        <v>675</v>
      </c>
      <c r="E5" s="22" t="s">
        <v>676</v>
      </c>
      <c r="F5" s="22" t="s">
        <v>677</v>
      </c>
    </row>
    <row r="6" spans="1:6" ht="43.2" x14ac:dyDescent="0.3">
      <c r="A6" s="22" t="s">
        <v>154</v>
      </c>
      <c r="B6" s="22" t="s">
        <v>678</v>
      </c>
      <c r="C6" s="22" t="s">
        <v>679</v>
      </c>
      <c r="D6" s="22" t="s">
        <v>680</v>
      </c>
      <c r="E6" s="22" t="s">
        <v>681</v>
      </c>
      <c r="F6" s="22" t="s">
        <v>682</v>
      </c>
    </row>
    <row r="7" spans="1:6" ht="43.2" x14ac:dyDescent="0.3">
      <c r="A7" s="22" t="s">
        <v>264</v>
      </c>
      <c r="B7" s="22" t="s">
        <v>683</v>
      </c>
      <c r="C7" s="22" t="s">
        <v>684</v>
      </c>
      <c r="D7" s="22" t="s">
        <v>685</v>
      </c>
      <c r="E7" s="22" t="s">
        <v>686</v>
      </c>
      <c r="F7" s="22" t="s">
        <v>687</v>
      </c>
    </row>
    <row r="8" spans="1:6" ht="43.2" x14ac:dyDescent="0.3">
      <c r="A8" s="22" t="s">
        <v>374</v>
      </c>
      <c r="B8" s="22" t="s">
        <v>688</v>
      </c>
      <c r="C8" s="22" t="s">
        <v>689</v>
      </c>
      <c r="D8" s="22" t="s">
        <v>690</v>
      </c>
      <c r="E8" s="22" t="s">
        <v>691</v>
      </c>
      <c r="F8" s="22" t="s">
        <v>692</v>
      </c>
    </row>
    <row r="9" spans="1:6" ht="43.2" x14ac:dyDescent="0.3">
      <c r="A9" s="22" t="s">
        <v>483</v>
      </c>
      <c r="B9" s="22" t="s">
        <v>693</v>
      </c>
      <c r="C9" s="22" t="s">
        <v>694</v>
      </c>
      <c r="D9" s="22" t="s">
        <v>695</v>
      </c>
      <c r="E9" s="22" t="s">
        <v>696</v>
      </c>
      <c r="F9" s="22" t="s">
        <v>697</v>
      </c>
    </row>
    <row r="12" spans="1:6" x14ac:dyDescent="0.3">
      <c r="A12" s="29" t="s">
        <v>698</v>
      </c>
      <c r="B12" s="29"/>
      <c r="C12" s="29"/>
      <c r="D12" s="29"/>
      <c r="E12" s="29"/>
      <c r="F12" s="29"/>
    </row>
    <row r="13" spans="1:6" x14ac:dyDescent="0.3">
      <c r="A13" s="36" t="s">
        <v>699</v>
      </c>
      <c r="B13" s="36"/>
      <c r="C13" s="36"/>
      <c r="D13" s="36"/>
      <c r="E13" s="36"/>
      <c r="F13" s="36"/>
    </row>
    <row r="14" spans="1:6" x14ac:dyDescent="0.3">
      <c r="A14" s="36"/>
      <c r="B14" s="36"/>
      <c r="C14" s="36"/>
      <c r="D14" s="36"/>
      <c r="E14" s="36"/>
      <c r="F14" s="36"/>
    </row>
    <row r="15" spans="1:6" x14ac:dyDescent="0.3">
      <c r="A15" s="36"/>
      <c r="B15" s="36"/>
      <c r="C15" s="36"/>
      <c r="D15" s="36"/>
      <c r="E15" s="36"/>
      <c r="F15" s="36"/>
    </row>
    <row r="16" spans="1:6" x14ac:dyDescent="0.3">
      <c r="A16" s="36"/>
      <c r="B16" s="36"/>
      <c r="C16" s="36"/>
      <c r="D16" s="36"/>
      <c r="E16" s="36"/>
      <c r="F16" s="36"/>
    </row>
    <row r="17" spans="1:6" x14ac:dyDescent="0.3">
      <c r="A17" s="36"/>
      <c r="B17" s="36"/>
      <c r="C17" s="36"/>
      <c r="D17" s="36"/>
      <c r="E17" s="36"/>
      <c r="F17" s="36"/>
    </row>
    <row r="18" spans="1:6" x14ac:dyDescent="0.3">
      <c r="A18" s="36"/>
      <c r="B18" s="36"/>
      <c r="C18" s="36"/>
      <c r="D18" s="36"/>
      <c r="E18" s="36"/>
      <c r="F18" s="36"/>
    </row>
    <row r="19" spans="1:6" x14ac:dyDescent="0.3">
      <c r="A19" s="36"/>
      <c r="B19" s="36"/>
      <c r="C19" s="36"/>
      <c r="D19" s="36"/>
      <c r="E19" s="36"/>
      <c r="F19" s="36"/>
    </row>
    <row r="20" spans="1:6" x14ac:dyDescent="0.3">
      <c r="A20" s="36"/>
      <c r="B20" s="36"/>
      <c r="C20" s="36"/>
      <c r="D20" s="36"/>
      <c r="E20" s="36"/>
      <c r="F20" s="36"/>
    </row>
    <row r="21" spans="1:6" x14ac:dyDescent="0.3">
      <c r="A21" s="36"/>
      <c r="B21" s="36"/>
      <c r="C21" s="36"/>
      <c r="D21" s="36"/>
      <c r="E21" s="36"/>
      <c r="F21" s="36"/>
    </row>
    <row r="22" spans="1:6" x14ac:dyDescent="0.3">
      <c r="A22" s="36"/>
      <c r="B22" s="36"/>
      <c r="C22" s="36"/>
      <c r="D22" s="36"/>
      <c r="E22" s="36"/>
      <c r="F22" s="36"/>
    </row>
    <row r="23" spans="1:6" x14ac:dyDescent="0.3">
      <c r="A23" s="36"/>
      <c r="B23" s="36"/>
      <c r="C23" s="36"/>
      <c r="D23" s="36"/>
      <c r="E23" s="36"/>
      <c r="F23" s="36"/>
    </row>
  </sheetData>
  <mergeCells count="3">
    <mergeCell ref="A1:F2"/>
    <mergeCell ref="A12:F12"/>
    <mergeCell ref="A13:F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55"/>
  <sheetViews>
    <sheetView tabSelected="1" zoomScale="68" zoomScaleNormal="68" workbookViewId="0">
      <selection activeCell="G28" sqref="G28"/>
    </sheetView>
  </sheetViews>
  <sheetFormatPr defaultRowHeight="14.4" x14ac:dyDescent="0.3"/>
  <cols>
    <col min="1" max="1" width="31" customWidth="1"/>
    <col min="2" max="2" width="20" customWidth="1"/>
    <col min="3" max="6" width="16" customWidth="1"/>
    <col min="7" max="7" width="31" customWidth="1"/>
    <col min="8" max="8" width="45" customWidth="1"/>
  </cols>
  <sheetData>
    <row r="1" spans="1:8" ht="19.2" customHeight="1" x14ac:dyDescent="0.3">
      <c r="A1" s="35" t="s">
        <v>700</v>
      </c>
      <c r="B1" s="35"/>
      <c r="C1" s="35"/>
      <c r="D1" s="35"/>
      <c r="E1" s="35"/>
      <c r="F1" s="35"/>
      <c r="G1" s="35"/>
      <c r="H1" s="35"/>
    </row>
    <row r="2" spans="1:8" ht="19.2" customHeight="1" x14ac:dyDescent="0.3">
      <c r="A2" s="35"/>
      <c r="B2" s="35"/>
      <c r="C2" s="35"/>
      <c r="D2" s="35"/>
      <c r="E2" s="35"/>
      <c r="F2" s="35"/>
      <c r="G2" s="35"/>
      <c r="H2" s="35"/>
    </row>
    <row r="3" spans="1:8" x14ac:dyDescent="0.3">
      <c r="A3" s="37" t="s">
        <v>701</v>
      </c>
      <c r="B3" s="37"/>
      <c r="C3" s="37"/>
      <c r="D3" s="37"/>
      <c r="E3" s="37"/>
      <c r="F3" s="37"/>
      <c r="G3" s="37"/>
      <c r="H3" s="37"/>
    </row>
    <row r="5" spans="1:8" x14ac:dyDescent="0.3">
      <c r="A5" s="14" t="s">
        <v>1</v>
      </c>
      <c r="B5" s="14" t="s">
        <v>702</v>
      </c>
      <c r="C5" s="14" t="s">
        <v>703</v>
      </c>
      <c r="D5" s="14" t="s">
        <v>704</v>
      </c>
      <c r="E5" s="14" t="s">
        <v>705</v>
      </c>
      <c r="F5" s="14" t="s">
        <v>706</v>
      </c>
      <c r="G5" s="14" t="s">
        <v>707</v>
      </c>
      <c r="H5" s="14" t="s">
        <v>708</v>
      </c>
    </row>
    <row r="6" spans="1:8" ht="28.8" x14ac:dyDescent="0.3">
      <c r="A6" s="15" t="s">
        <v>16</v>
      </c>
      <c r="B6" s="15" t="s">
        <v>709</v>
      </c>
      <c r="C6" s="24">
        <v>2059</v>
      </c>
      <c r="D6" s="24">
        <v>374000</v>
      </c>
      <c r="E6" s="24">
        <v>633</v>
      </c>
      <c r="F6" s="25">
        <v>46229</v>
      </c>
      <c r="G6" s="15" t="s">
        <v>710</v>
      </c>
      <c r="H6" s="15" t="s">
        <v>711</v>
      </c>
    </row>
    <row r="7" spans="1:8" ht="28.8" x14ac:dyDescent="0.3">
      <c r="A7" s="15" t="s">
        <v>154</v>
      </c>
      <c r="B7" s="15" t="s">
        <v>712</v>
      </c>
      <c r="C7" s="24">
        <v>1981</v>
      </c>
      <c r="D7" s="24">
        <v>109000</v>
      </c>
      <c r="E7" s="24">
        <v>310</v>
      </c>
      <c r="F7" s="25">
        <v>46229</v>
      </c>
      <c r="G7" s="15" t="s">
        <v>710</v>
      </c>
      <c r="H7" s="15" t="s">
        <v>711</v>
      </c>
    </row>
    <row r="8" spans="1:8" ht="28.8" x14ac:dyDescent="0.3">
      <c r="A8" s="15" t="s">
        <v>264</v>
      </c>
      <c r="B8" s="15" t="s">
        <v>713</v>
      </c>
      <c r="C8" s="24">
        <v>2935</v>
      </c>
      <c r="D8" s="24">
        <v>98900</v>
      </c>
      <c r="E8" s="24">
        <v>578</v>
      </c>
      <c r="F8" s="25">
        <v>46229</v>
      </c>
      <c r="G8" s="15" t="s">
        <v>710</v>
      </c>
      <c r="H8" s="15" t="s">
        <v>711</v>
      </c>
    </row>
    <row r="9" spans="1:8" ht="28.8" x14ac:dyDescent="0.3">
      <c r="A9" s="15" t="s">
        <v>374</v>
      </c>
      <c r="B9" s="15" t="s">
        <v>714</v>
      </c>
      <c r="C9" s="24">
        <v>2453</v>
      </c>
      <c r="D9" s="24">
        <v>79700</v>
      </c>
      <c r="E9" s="24">
        <v>476</v>
      </c>
      <c r="F9" s="25">
        <v>46229</v>
      </c>
      <c r="G9" s="15" t="s">
        <v>710</v>
      </c>
      <c r="H9" s="15" t="s">
        <v>711</v>
      </c>
    </row>
    <row r="10" spans="1:8" ht="28.8" x14ac:dyDescent="0.3">
      <c r="A10" s="15" t="s">
        <v>483</v>
      </c>
      <c r="B10" s="15" t="s">
        <v>715</v>
      </c>
      <c r="C10" s="24">
        <v>2500</v>
      </c>
      <c r="D10" s="24">
        <v>104000</v>
      </c>
      <c r="E10" s="24">
        <v>552</v>
      </c>
      <c r="F10" s="25">
        <v>46229</v>
      </c>
      <c r="G10" s="15" t="s">
        <v>710</v>
      </c>
      <c r="H10" s="15" t="s">
        <v>711</v>
      </c>
    </row>
    <row r="13" spans="1:8" x14ac:dyDescent="0.3">
      <c r="A13" s="29" t="s">
        <v>716</v>
      </c>
      <c r="B13" s="29"/>
      <c r="C13" s="29"/>
      <c r="D13" s="29"/>
      <c r="E13" s="29"/>
      <c r="F13" s="29"/>
      <c r="G13" s="29"/>
      <c r="H13" s="29"/>
    </row>
    <row r="14" spans="1:8" x14ac:dyDescent="0.3">
      <c r="A14" s="36" t="s">
        <v>717</v>
      </c>
      <c r="B14" s="36"/>
      <c r="C14" s="36"/>
      <c r="D14" s="36"/>
      <c r="E14" s="36"/>
      <c r="F14" s="36"/>
      <c r="G14" s="36"/>
      <c r="H14" s="36"/>
    </row>
    <row r="15" spans="1:8" x14ac:dyDescent="0.3">
      <c r="A15" s="36"/>
      <c r="B15" s="36"/>
      <c r="C15" s="36"/>
      <c r="D15" s="36"/>
      <c r="E15" s="36"/>
      <c r="F15" s="36"/>
      <c r="G15" s="36"/>
      <c r="H15" s="36"/>
    </row>
    <row r="16" spans="1:8" x14ac:dyDescent="0.3">
      <c r="A16" s="36"/>
      <c r="B16" s="36"/>
      <c r="C16" s="36"/>
      <c r="D16" s="36"/>
      <c r="E16" s="36"/>
      <c r="F16" s="36"/>
      <c r="G16" s="36"/>
      <c r="H16" s="36"/>
    </row>
    <row r="17" spans="1:8" x14ac:dyDescent="0.3">
      <c r="A17" s="36"/>
      <c r="B17" s="36"/>
      <c r="C17" s="36"/>
      <c r="D17" s="36"/>
      <c r="E17" s="36"/>
      <c r="F17" s="36"/>
      <c r="G17" s="36"/>
      <c r="H17" s="36"/>
    </row>
    <row r="18" spans="1:8" x14ac:dyDescent="0.3">
      <c r="A18" s="36"/>
      <c r="B18" s="36"/>
      <c r="C18" s="36"/>
      <c r="D18" s="36"/>
      <c r="E18" s="36"/>
      <c r="F18" s="36"/>
      <c r="G18" s="36"/>
      <c r="H18" s="36"/>
    </row>
    <row r="19" spans="1:8" x14ac:dyDescent="0.3">
      <c r="A19" s="36"/>
      <c r="B19" s="36"/>
      <c r="C19" s="36"/>
      <c r="D19" s="36"/>
      <c r="E19" s="36"/>
      <c r="F19" s="36"/>
      <c r="G19" s="36"/>
      <c r="H19" s="36"/>
    </row>
    <row r="20" spans="1:8" x14ac:dyDescent="0.3">
      <c r="A20" s="36"/>
      <c r="B20" s="36"/>
      <c r="C20" s="36"/>
      <c r="D20" s="36"/>
      <c r="E20" s="36"/>
      <c r="F20" s="36"/>
      <c r="G20" s="36"/>
      <c r="H20" s="36"/>
    </row>
    <row r="50" spans="10:11" x14ac:dyDescent="0.3">
      <c r="J50" t="s">
        <v>1</v>
      </c>
      <c r="K50" t="s">
        <v>704</v>
      </c>
    </row>
    <row r="51" spans="10:11" x14ac:dyDescent="0.3">
      <c r="J51" t="s">
        <v>624</v>
      </c>
      <c r="K51" s="23">
        <v>374000</v>
      </c>
    </row>
    <row r="52" spans="10:11" x14ac:dyDescent="0.3">
      <c r="J52" t="s">
        <v>627</v>
      </c>
      <c r="K52" s="23">
        <v>109000</v>
      </c>
    </row>
    <row r="53" spans="10:11" x14ac:dyDescent="0.3">
      <c r="J53" t="s">
        <v>630</v>
      </c>
      <c r="K53" s="23">
        <v>98900</v>
      </c>
    </row>
    <row r="54" spans="10:11" x14ac:dyDescent="0.3">
      <c r="J54" t="s">
        <v>633</v>
      </c>
      <c r="K54" s="23">
        <v>79700</v>
      </c>
    </row>
    <row r="55" spans="10:11" x14ac:dyDescent="0.3">
      <c r="J55" t="s">
        <v>639</v>
      </c>
      <c r="K55" s="23">
        <v>104000</v>
      </c>
    </row>
  </sheetData>
  <mergeCells count="4">
    <mergeCell ref="A1:H2"/>
    <mergeCell ref="A3:H3"/>
    <mergeCell ref="A13:H13"/>
    <mergeCell ref="A14:H2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42"/>
  <sheetViews>
    <sheetView topLeftCell="A22" workbookViewId="0">
      <selection sqref="A1:H2"/>
    </sheetView>
  </sheetViews>
  <sheetFormatPr defaultRowHeight="14.4" x14ac:dyDescent="0.3"/>
  <cols>
    <col min="1" max="1" width="36" customWidth="1"/>
    <col min="2" max="3" width="24" customWidth="1"/>
    <col min="4" max="4" width="14" customWidth="1"/>
    <col min="5" max="6" width="17" customWidth="1"/>
    <col min="7" max="7" width="14" customWidth="1"/>
  </cols>
  <sheetData>
    <row r="1" spans="1:8" ht="19.2" customHeight="1" x14ac:dyDescent="0.3">
      <c r="A1" s="35" t="s">
        <v>718</v>
      </c>
      <c r="B1" s="35"/>
      <c r="C1" s="35"/>
      <c r="D1" s="35"/>
      <c r="E1" s="35"/>
      <c r="F1" s="35"/>
      <c r="G1" s="35"/>
      <c r="H1" s="35"/>
    </row>
    <row r="2" spans="1:8" ht="19.2" customHeight="1" x14ac:dyDescent="0.3">
      <c r="A2" s="35"/>
      <c r="B2" s="35"/>
      <c r="C2" s="35"/>
      <c r="D2" s="35"/>
      <c r="E2" s="35"/>
      <c r="F2" s="35"/>
      <c r="G2" s="35"/>
      <c r="H2" s="35"/>
    </row>
    <row r="4" spans="1:8" ht="24" customHeight="1" x14ac:dyDescent="0.3">
      <c r="A4" s="14" t="s">
        <v>719</v>
      </c>
      <c r="B4" s="14" t="s">
        <v>720</v>
      </c>
      <c r="C4" s="14" t="s">
        <v>721</v>
      </c>
      <c r="D4" s="14" t="s">
        <v>722</v>
      </c>
      <c r="E4" s="15"/>
      <c r="F4" s="15"/>
      <c r="G4" s="15"/>
    </row>
    <row r="5" spans="1:8" x14ac:dyDescent="0.3">
      <c r="A5" t="s">
        <v>723</v>
      </c>
      <c r="B5">
        <f>COUNTA('Analysis Data'!$A$2:$A$181)</f>
        <v>180</v>
      </c>
      <c r="C5">
        <v>180</v>
      </c>
      <c r="D5" t="str">
        <f t="shared" ref="D5:D15" si="0">IF(B5=C5,"PASS","CHECK")</f>
        <v>PASS</v>
      </c>
    </row>
    <row r="6" spans="1:8" x14ac:dyDescent="0.3">
      <c r="A6" t="s">
        <v>724</v>
      </c>
      <c r="B6">
        <f>COUNTIF('Analysis Data'!$S$2:$S$181,"Duplicate")</f>
        <v>0</v>
      </c>
      <c r="C6">
        <v>0</v>
      </c>
      <c r="D6" t="str">
        <f t="shared" si="0"/>
        <v>PASS</v>
      </c>
    </row>
    <row r="7" spans="1:8" x14ac:dyDescent="0.3">
      <c r="A7" t="s">
        <v>725</v>
      </c>
      <c r="B7">
        <f>COUNTIF('Analysis Data'!$T$2:$T$181,"Duplicate")</f>
        <v>0</v>
      </c>
      <c r="C7">
        <v>0</v>
      </c>
      <c r="D7" t="str">
        <f t="shared" si="0"/>
        <v>PASS</v>
      </c>
    </row>
    <row r="8" spans="1:8" x14ac:dyDescent="0.3">
      <c r="A8" t="s">
        <v>726</v>
      </c>
      <c r="B8">
        <f>COUNTIF('Analysis Data'!$U$2:$U$181,"Mismatch")</f>
        <v>0</v>
      </c>
      <c r="C8">
        <v>0</v>
      </c>
      <c r="D8" t="str">
        <f t="shared" si="0"/>
        <v>PASS</v>
      </c>
    </row>
    <row r="9" spans="1:8" x14ac:dyDescent="0.3">
      <c r="A9" t="s">
        <v>727</v>
      </c>
      <c r="B9">
        <f>COUNTIF('Analysis Data'!$V$2:$V$181,"Likes/comments unavailable")</f>
        <v>3</v>
      </c>
      <c r="C9">
        <v>3</v>
      </c>
      <c r="D9" t="str">
        <f t="shared" si="0"/>
        <v>PASS</v>
      </c>
    </row>
    <row r="10" spans="1:8" x14ac:dyDescent="0.3">
      <c r="A10" t="s">
        <v>728</v>
      </c>
      <c r="B10">
        <f>COUNTIF('Analysis Data'!$V$2:$V$181,"Primary and secondary themes identical")</f>
        <v>1</v>
      </c>
      <c r="C10">
        <v>1</v>
      </c>
      <c r="D10" t="str">
        <f t="shared" si="0"/>
        <v>PASS</v>
      </c>
    </row>
    <row r="11" spans="1:8" x14ac:dyDescent="0.3">
      <c r="A11" t="s">
        <v>729</v>
      </c>
      <c r="B11">
        <f>COUNTIF('Analysis Data'!$L$2:$L$181,"Yes")</f>
        <v>121</v>
      </c>
      <c r="C11">
        <v>121</v>
      </c>
      <c r="D11" t="str">
        <f t="shared" si="0"/>
        <v>PASS</v>
      </c>
    </row>
    <row r="12" spans="1:8" x14ac:dyDescent="0.3">
      <c r="A12" t="s">
        <v>730</v>
      </c>
      <c r="B12">
        <f>COUNTIF('Analysis Data'!$G$2:$G$181,"Reel")</f>
        <v>114</v>
      </c>
      <c r="C12">
        <v>114</v>
      </c>
      <c r="D12" t="str">
        <f t="shared" si="0"/>
        <v>PASS</v>
      </c>
    </row>
    <row r="13" spans="1:8" x14ac:dyDescent="0.3">
      <c r="A13" t="s">
        <v>731</v>
      </c>
      <c r="B13">
        <f>SUM('Primary Themes'!$G$5:$G$19)</f>
        <v>180</v>
      </c>
      <c r="C13">
        <v>180</v>
      </c>
      <c r="D13" t="str">
        <f t="shared" si="0"/>
        <v>PASS</v>
      </c>
    </row>
    <row r="14" spans="1:8" x14ac:dyDescent="0.3">
      <c r="A14" t="s">
        <v>732</v>
      </c>
      <c r="B14">
        <f>SUM('Secondary Themes'!$G$5:$G$20)</f>
        <v>180</v>
      </c>
      <c r="C14">
        <v>180</v>
      </c>
      <c r="D14" t="str">
        <f t="shared" si="0"/>
        <v>PASS</v>
      </c>
    </row>
    <row r="15" spans="1:8" x14ac:dyDescent="0.3">
      <c r="A15" t="s">
        <v>733</v>
      </c>
      <c r="B15">
        <f>SUM('Marketing Approaches'!$G$5:$G$12)</f>
        <v>180</v>
      </c>
      <c r="C15">
        <v>180</v>
      </c>
      <c r="D15" t="str">
        <f t="shared" si="0"/>
        <v>PASS</v>
      </c>
    </row>
    <row r="18" spans="1:13" ht="24" customHeight="1" x14ac:dyDescent="0.3">
      <c r="A18" s="14" t="s">
        <v>1</v>
      </c>
      <c r="B18" s="14" t="s">
        <v>734</v>
      </c>
      <c r="C18" s="14" t="s">
        <v>735</v>
      </c>
      <c r="D18" s="14" t="s">
        <v>736</v>
      </c>
      <c r="E18" s="14" t="s">
        <v>737</v>
      </c>
      <c r="F18" s="14" t="s">
        <v>738</v>
      </c>
      <c r="G18" s="14" t="s">
        <v>722</v>
      </c>
    </row>
    <row r="19" spans="1:13" x14ac:dyDescent="0.3">
      <c r="A19" t="s">
        <v>16</v>
      </c>
      <c r="B19">
        <f>COUNTIF('Analysis Data'!$B$2:$B$181,A19)</f>
        <v>36</v>
      </c>
      <c r="C19">
        <v>36</v>
      </c>
      <c r="D19">
        <f>B19-C19</f>
        <v>0</v>
      </c>
      <c r="E19">
        <f>COUNTIFS('Analysis Data'!$B$2:$B$181,A19,'Analysis Data'!$E$2:$E$181,2024)</f>
        <v>12</v>
      </c>
      <c r="F19">
        <f>COUNTIFS('Analysis Data'!$B$2:$B$181,A19,'Analysis Data'!$E$2:$E$181,2025)</f>
        <v>24</v>
      </c>
      <c r="G19" t="str">
        <f>IF(AND(B19=36,E19=12,F19=24),"PASS","CHECK")</f>
        <v>PASS</v>
      </c>
    </row>
    <row r="20" spans="1:13" x14ac:dyDescent="0.3">
      <c r="A20" t="s">
        <v>154</v>
      </c>
      <c r="B20">
        <f>COUNTIF('Analysis Data'!$B$2:$B$181,A20)</f>
        <v>36</v>
      </c>
      <c r="C20">
        <v>36</v>
      </c>
      <c r="D20">
        <f>B20-C20</f>
        <v>0</v>
      </c>
      <c r="E20">
        <f>COUNTIFS('Analysis Data'!$B$2:$B$181,A20,'Analysis Data'!$E$2:$E$181,2024)</f>
        <v>12</v>
      </c>
      <c r="F20">
        <f>COUNTIFS('Analysis Data'!$B$2:$B$181,A20,'Analysis Data'!$E$2:$E$181,2025)</f>
        <v>24</v>
      </c>
      <c r="G20" t="str">
        <f>IF(AND(B20=36,E20=12,F20=24),"PASS","CHECK")</f>
        <v>PASS</v>
      </c>
    </row>
    <row r="21" spans="1:13" x14ac:dyDescent="0.3">
      <c r="A21" t="s">
        <v>264</v>
      </c>
      <c r="B21">
        <f>COUNTIF('Analysis Data'!$B$2:$B$181,A21)</f>
        <v>36</v>
      </c>
      <c r="C21">
        <v>36</v>
      </c>
      <c r="D21">
        <f>B21-C21</f>
        <v>0</v>
      </c>
      <c r="E21">
        <f>COUNTIFS('Analysis Data'!$B$2:$B$181,A21,'Analysis Data'!$E$2:$E$181,2024)</f>
        <v>12</v>
      </c>
      <c r="F21">
        <f>COUNTIFS('Analysis Data'!$B$2:$B$181,A21,'Analysis Data'!$E$2:$E$181,2025)</f>
        <v>24</v>
      </c>
      <c r="G21" t="str">
        <f>IF(AND(B21=36,E21=12,F21=24),"PASS","CHECK")</f>
        <v>PASS</v>
      </c>
    </row>
    <row r="22" spans="1:13" x14ac:dyDescent="0.3">
      <c r="A22" t="s">
        <v>374</v>
      </c>
      <c r="B22">
        <f>COUNTIF('Analysis Data'!$B$2:$B$181,A22)</f>
        <v>36</v>
      </c>
      <c r="C22">
        <v>36</v>
      </c>
      <c r="D22">
        <f>B22-C22</f>
        <v>0</v>
      </c>
      <c r="E22">
        <f>COUNTIFS('Analysis Data'!$B$2:$B$181,A22,'Analysis Data'!$E$2:$E$181,2024)</f>
        <v>12</v>
      </c>
      <c r="F22">
        <f>COUNTIFS('Analysis Data'!$B$2:$B$181,A22,'Analysis Data'!$E$2:$E$181,2025)</f>
        <v>24</v>
      </c>
      <c r="G22" t="str">
        <f>IF(AND(B22=36,E22=12,F22=24),"PASS","CHECK")</f>
        <v>PASS</v>
      </c>
    </row>
    <row r="23" spans="1:13" x14ac:dyDescent="0.3">
      <c r="A23" t="s">
        <v>483</v>
      </c>
      <c r="B23">
        <f>COUNTIF('Analysis Data'!$B$2:$B$181,A23)</f>
        <v>36</v>
      </c>
      <c r="C23">
        <v>36</v>
      </c>
      <c r="D23">
        <f>B23-C23</f>
        <v>0</v>
      </c>
      <c r="E23">
        <f>COUNTIFS('Analysis Data'!$B$2:$B$181,A23,'Analysis Data'!$E$2:$E$181,2024)</f>
        <v>12</v>
      </c>
      <c r="F23">
        <f>COUNTIFS('Analysis Data'!$B$2:$B$181,A23,'Analysis Data'!$E$2:$E$181,2025)</f>
        <v>24</v>
      </c>
      <c r="G23" t="str">
        <f>IF(AND(B23=36,E23=12,F23=24),"PASS","CHECK")</f>
        <v>PASS</v>
      </c>
    </row>
    <row r="27" spans="1:13" x14ac:dyDescent="0.3">
      <c r="A27" s="13" t="s">
        <v>1</v>
      </c>
      <c r="B27" s="13" t="s">
        <v>606</v>
      </c>
      <c r="C27" s="13" t="s">
        <v>607</v>
      </c>
      <c r="D27" s="13" t="s">
        <v>608</v>
      </c>
      <c r="E27" s="13" t="s">
        <v>609</v>
      </c>
      <c r="F27" s="13" t="s">
        <v>599</v>
      </c>
      <c r="G27" s="13" t="s">
        <v>600</v>
      </c>
      <c r="H27" s="13" t="s">
        <v>601</v>
      </c>
      <c r="I27" s="13" t="s">
        <v>602</v>
      </c>
      <c r="J27" s="13" t="s">
        <v>603</v>
      </c>
      <c r="K27" s="13" t="s">
        <v>88</v>
      </c>
      <c r="L27" s="13" t="s">
        <v>604</v>
      </c>
      <c r="M27" s="13" t="s">
        <v>605</v>
      </c>
    </row>
    <row r="28" spans="1:13" x14ac:dyDescent="0.3">
      <c r="A28" t="s">
        <v>16</v>
      </c>
      <c r="B28">
        <f>COUNTIFS('Analysis Data'!$B$2:$B$181,$A28,'Analysis Data'!$D$2:$D$181,B$27)</f>
        <v>3</v>
      </c>
      <c r="C28">
        <f>COUNTIFS('Analysis Data'!$B$2:$B$181,$A28,'Analysis Data'!$D$2:$D$181,C$27)</f>
        <v>3</v>
      </c>
      <c r="D28">
        <f>COUNTIFS('Analysis Data'!$B$2:$B$181,$A28,'Analysis Data'!$D$2:$D$181,D$27)</f>
        <v>3</v>
      </c>
      <c r="E28">
        <f>COUNTIFS('Analysis Data'!$B$2:$B$181,$A28,'Analysis Data'!$D$2:$D$181,E$27)</f>
        <v>3</v>
      </c>
      <c r="F28">
        <f>COUNTIFS('Analysis Data'!$B$2:$B$181,$A28,'Analysis Data'!$D$2:$D$181,F$27)</f>
        <v>3</v>
      </c>
      <c r="G28">
        <f>COUNTIFS('Analysis Data'!$B$2:$B$181,$A28,'Analysis Data'!$D$2:$D$181,G$27)</f>
        <v>3</v>
      </c>
      <c r="H28">
        <f>COUNTIFS('Analysis Data'!$B$2:$B$181,$A28,'Analysis Data'!$D$2:$D$181,H$27)</f>
        <v>3</v>
      </c>
      <c r="I28">
        <f>COUNTIFS('Analysis Data'!$B$2:$B$181,$A28,'Analysis Data'!$D$2:$D$181,I$27)</f>
        <v>3</v>
      </c>
      <c r="J28">
        <f>COUNTIFS('Analysis Data'!$B$2:$B$181,$A28,'Analysis Data'!$D$2:$D$181,J$27)</f>
        <v>3</v>
      </c>
      <c r="K28">
        <f>COUNTIFS('Analysis Data'!$B$2:$B$181,$A28,'Analysis Data'!$D$2:$D$181,K$27)</f>
        <v>3</v>
      </c>
      <c r="L28">
        <f>COUNTIFS('Analysis Data'!$B$2:$B$181,$A28,'Analysis Data'!$D$2:$D$181,L$27)</f>
        <v>3</v>
      </c>
      <c r="M28">
        <f>COUNTIFS('Analysis Data'!$B$2:$B$181,$A28,'Analysis Data'!$D$2:$D$181,M$27)</f>
        <v>3</v>
      </c>
    </row>
    <row r="29" spans="1:13" x14ac:dyDescent="0.3">
      <c r="A29" t="s">
        <v>154</v>
      </c>
      <c r="B29">
        <f>COUNTIFS('Analysis Data'!$B$2:$B$181,$A29,'Analysis Data'!$D$2:$D$181,B$27)</f>
        <v>3</v>
      </c>
      <c r="C29">
        <f>COUNTIFS('Analysis Data'!$B$2:$B$181,$A29,'Analysis Data'!$D$2:$D$181,C$27)</f>
        <v>3</v>
      </c>
      <c r="D29">
        <f>COUNTIFS('Analysis Data'!$B$2:$B$181,$A29,'Analysis Data'!$D$2:$D$181,D$27)</f>
        <v>3</v>
      </c>
      <c r="E29">
        <f>COUNTIFS('Analysis Data'!$B$2:$B$181,$A29,'Analysis Data'!$D$2:$D$181,E$27)</f>
        <v>3</v>
      </c>
      <c r="F29">
        <f>COUNTIFS('Analysis Data'!$B$2:$B$181,$A29,'Analysis Data'!$D$2:$D$181,F$27)</f>
        <v>3</v>
      </c>
      <c r="G29">
        <f>COUNTIFS('Analysis Data'!$B$2:$B$181,$A29,'Analysis Data'!$D$2:$D$181,G$27)</f>
        <v>3</v>
      </c>
      <c r="H29">
        <f>COUNTIFS('Analysis Data'!$B$2:$B$181,$A29,'Analysis Data'!$D$2:$D$181,H$27)</f>
        <v>3</v>
      </c>
      <c r="I29">
        <f>COUNTIFS('Analysis Data'!$B$2:$B$181,$A29,'Analysis Data'!$D$2:$D$181,I$27)</f>
        <v>3</v>
      </c>
      <c r="J29">
        <f>COUNTIFS('Analysis Data'!$B$2:$B$181,$A29,'Analysis Data'!$D$2:$D$181,J$27)</f>
        <v>3</v>
      </c>
      <c r="K29">
        <f>COUNTIFS('Analysis Data'!$B$2:$B$181,$A29,'Analysis Data'!$D$2:$D$181,K$27)</f>
        <v>3</v>
      </c>
      <c r="L29">
        <f>COUNTIFS('Analysis Data'!$B$2:$B$181,$A29,'Analysis Data'!$D$2:$D$181,L$27)</f>
        <v>3</v>
      </c>
      <c r="M29">
        <f>COUNTIFS('Analysis Data'!$B$2:$B$181,$A29,'Analysis Data'!$D$2:$D$181,M$27)</f>
        <v>3</v>
      </c>
    </row>
    <row r="30" spans="1:13" x14ac:dyDescent="0.3">
      <c r="A30" t="s">
        <v>264</v>
      </c>
      <c r="B30">
        <f>COUNTIFS('Analysis Data'!$B$2:$B$181,$A30,'Analysis Data'!$D$2:$D$181,B$27)</f>
        <v>3</v>
      </c>
      <c r="C30">
        <f>COUNTIFS('Analysis Data'!$B$2:$B$181,$A30,'Analysis Data'!$D$2:$D$181,C$27)</f>
        <v>3</v>
      </c>
      <c r="D30">
        <f>COUNTIFS('Analysis Data'!$B$2:$B$181,$A30,'Analysis Data'!$D$2:$D$181,D$27)</f>
        <v>3</v>
      </c>
      <c r="E30">
        <f>COUNTIFS('Analysis Data'!$B$2:$B$181,$A30,'Analysis Data'!$D$2:$D$181,E$27)</f>
        <v>3</v>
      </c>
      <c r="F30">
        <f>COUNTIFS('Analysis Data'!$B$2:$B$181,$A30,'Analysis Data'!$D$2:$D$181,F$27)</f>
        <v>3</v>
      </c>
      <c r="G30">
        <f>COUNTIFS('Analysis Data'!$B$2:$B$181,$A30,'Analysis Data'!$D$2:$D$181,G$27)</f>
        <v>3</v>
      </c>
      <c r="H30">
        <f>COUNTIFS('Analysis Data'!$B$2:$B$181,$A30,'Analysis Data'!$D$2:$D$181,H$27)</f>
        <v>3</v>
      </c>
      <c r="I30">
        <f>COUNTIFS('Analysis Data'!$B$2:$B$181,$A30,'Analysis Data'!$D$2:$D$181,I$27)</f>
        <v>3</v>
      </c>
      <c r="J30">
        <f>COUNTIFS('Analysis Data'!$B$2:$B$181,$A30,'Analysis Data'!$D$2:$D$181,J$27)</f>
        <v>3</v>
      </c>
      <c r="K30">
        <f>COUNTIFS('Analysis Data'!$B$2:$B$181,$A30,'Analysis Data'!$D$2:$D$181,K$27)</f>
        <v>3</v>
      </c>
      <c r="L30">
        <f>COUNTIFS('Analysis Data'!$B$2:$B$181,$A30,'Analysis Data'!$D$2:$D$181,L$27)</f>
        <v>3</v>
      </c>
      <c r="M30">
        <f>COUNTIFS('Analysis Data'!$B$2:$B$181,$A30,'Analysis Data'!$D$2:$D$181,M$27)</f>
        <v>3</v>
      </c>
    </row>
    <row r="31" spans="1:13" x14ac:dyDescent="0.3">
      <c r="A31" t="s">
        <v>374</v>
      </c>
      <c r="B31">
        <f>COUNTIFS('Analysis Data'!$B$2:$B$181,$A31,'Analysis Data'!$D$2:$D$181,B$27)</f>
        <v>3</v>
      </c>
      <c r="C31">
        <f>COUNTIFS('Analysis Data'!$B$2:$B$181,$A31,'Analysis Data'!$D$2:$D$181,C$27)</f>
        <v>3</v>
      </c>
      <c r="D31">
        <f>COUNTIFS('Analysis Data'!$B$2:$B$181,$A31,'Analysis Data'!$D$2:$D$181,D$27)</f>
        <v>3</v>
      </c>
      <c r="E31">
        <f>COUNTIFS('Analysis Data'!$B$2:$B$181,$A31,'Analysis Data'!$D$2:$D$181,E$27)</f>
        <v>3</v>
      </c>
      <c r="F31">
        <f>COUNTIFS('Analysis Data'!$B$2:$B$181,$A31,'Analysis Data'!$D$2:$D$181,F$27)</f>
        <v>3</v>
      </c>
      <c r="G31">
        <f>COUNTIFS('Analysis Data'!$B$2:$B$181,$A31,'Analysis Data'!$D$2:$D$181,G$27)</f>
        <v>3</v>
      </c>
      <c r="H31">
        <f>COUNTIFS('Analysis Data'!$B$2:$B$181,$A31,'Analysis Data'!$D$2:$D$181,H$27)</f>
        <v>3</v>
      </c>
      <c r="I31">
        <f>COUNTIFS('Analysis Data'!$B$2:$B$181,$A31,'Analysis Data'!$D$2:$D$181,I$27)</f>
        <v>3</v>
      </c>
      <c r="J31">
        <f>COUNTIFS('Analysis Data'!$B$2:$B$181,$A31,'Analysis Data'!$D$2:$D$181,J$27)</f>
        <v>3</v>
      </c>
      <c r="K31">
        <f>COUNTIFS('Analysis Data'!$B$2:$B$181,$A31,'Analysis Data'!$D$2:$D$181,K$27)</f>
        <v>3</v>
      </c>
      <c r="L31">
        <f>COUNTIFS('Analysis Data'!$B$2:$B$181,$A31,'Analysis Data'!$D$2:$D$181,L$27)</f>
        <v>3</v>
      </c>
      <c r="M31">
        <f>COUNTIFS('Analysis Data'!$B$2:$B$181,$A31,'Analysis Data'!$D$2:$D$181,M$27)</f>
        <v>3</v>
      </c>
    </row>
    <row r="32" spans="1:13" x14ac:dyDescent="0.3">
      <c r="A32" t="s">
        <v>483</v>
      </c>
      <c r="B32">
        <f>COUNTIFS('Analysis Data'!$B$2:$B$181,$A32,'Analysis Data'!$D$2:$D$181,B$27)</f>
        <v>3</v>
      </c>
      <c r="C32">
        <f>COUNTIFS('Analysis Data'!$B$2:$B$181,$A32,'Analysis Data'!$D$2:$D$181,C$27)</f>
        <v>3</v>
      </c>
      <c r="D32">
        <f>COUNTIFS('Analysis Data'!$B$2:$B$181,$A32,'Analysis Data'!$D$2:$D$181,D$27)</f>
        <v>3</v>
      </c>
      <c r="E32">
        <f>COUNTIFS('Analysis Data'!$B$2:$B$181,$A32,'Analysis Data'!$D$2:$D$181,E$27)</f>
        <v>3</v>
      </c>
      <c r="F32">
        <f>COUNTIFS('Analysis Data'!$B$2:$B$181,$A32,'Analysis Data'!$D$2:$D$181,F$27)</f>
        <v>3</v>
      </c>
      <c r="G32">
        <f>COUNTIFS('Analysis Data'!$B$2:$B$181,$A32,'Analysis Data'!$D$2:$D$181,G$27)</f>
        <v>3</v>
      </c>
      <c r="H32">
        <f>COUNTIFS('Analysis Data'!$B$2:$B$181,$A32,'Analysis Data'!$D$2:$D$181,H$27)</f>
        <v>3</v>
      </c>
      <c r="I32">
        <f>COUNTIFS('Analysis Data'!$B$2:$B$181,$A32,'Analysis Data'!$D$2:$D$181,I$27)</f>
        <v>3</v>
      </c>
      <c r="J32">
        <f>COUNTIFS('Analysis Data'!$B$2:$B$181,$A32,'Analysis Data'!$D$2:$D$181,J$27)</f>
        <v>3</v>
      </c>
      <c r="K32">
        <f>COUNTIFS('Analysis Data'!$B$2:$B$181,$A32,'Analysis Data'!$D$2:$D$181,K$27)</f>
        <v>3</v>
      </c>
      <c r="L32">
        <f>COUNTIFS('Analysis Data'!$B$2:$B$181,$A32,'Analysis Data'!$D$2:$D$181,L$27)</f>
        <v>3</v>
      </c>
      <c r="M32">
        <f>COUNTIFS('Analysis Data'!$B$2:$B$181,$A32,'Analysis Data'!$D$2:$D$181,M$27)</f>
        <v>3</v>
      </c>
    </row>
    <row r="35" spans="1:8" x14ac:dyDescent="0.3">
      <c r="A35" s="29" t="s">
        <v>739</v>
      </c>
      <c r="B35" s="29"/>
      <c r="C35" s="29"/>
      <c r="D35" s="29"/>
      <c r="E35" s="29"/>
      <c r="F35" s="29"/>
      <c r="G35" s="29"/>
      <c r="H35" s="29"/>
    </row>
    <row r="36" spans="1:8" x14ac:dyDescent="0.3">
      <c r="A36" s="36" t="s">
        <v>740</v>
      </c>
      <c r="B36" s="36"/>
      <c r="C36" s="36"/>
      <c r="D36" s="36"/>
      <c r="E36" s="36"/>
      <c r="F36" s="36"/>
      <c r="G36" s="36"/>
      <c r="H36" s="36"/>
    </row>
    <row r="37" spans="1:8" x14ac:dyDescent="0.3">
      <c r="A37" s="36"/>
      <c r="B37" s="36"/>
      <c r="C37" s="36"/>
      <c r="D37" s="36"/>
      <c r="E37" s="36"/>
      <c r="F37" s="36"/>
      <c r="G37" s="36"/>
      <c r="H37" s="36"/>
    </row>
    <row r="38" spans="1:8" x14ac:dyDescent="0.3">
      <c r="A38" s="36"/>
      <c r="B38" s="36"/>
      <c r="C38" s="36"/>
      <c r="D38" s="36"/>
      <c r="E38" s="36"/>
      <c r="F38" s="36"/>
      <c r="G38" s="36"/>
      <c r="H38" s="36"/>
    </row>
    <row r="39" spans="1:8" x14ac:dyDescent="0.3">
      <c r="A39" s="36"/>
      <c r="B39" s="36"/>
      <c r="C39" s="36"/>
      <c r="D39" s="36"/>
      <c r="E39" s="36"/>
      <c r="F39" s="36"/>
      <c r="G39" s="36"/>
      <c r="H39" s="36"/>
    </row>
    <row r="40" spans="1:8" x14ac:dyDescent="0.3">
      <c r="A40" s="36"/>
      <c r="B40" s="36"/>
      <c r="C40" s="36"/>
      <c r="D40" s="36"/>
      <c r="E40" s="36"/>
      <c r="F40" s="36"/>
      <c r="G40" s="36"/>
      <c r="H40" s="36"/>
    </row>
    <row r="41" spans="1:8" x14ac:dyDescent="0.3">
      <c r="A41" s="36"/>
      <c r="B41" s="36"/>
      <c r="C41" s="36"/>
      <c r="D41" s="36"/>
      <c r="E41" s="36"/>
      <c r="F41" s="36"/>
      <c r="G41" s="36"/>
      <c r="H41" s="36"/>
    </row>
    <row r="42" spans="1:8" x14ac:dyDescent="0.3">
      <c r="A42" s="36"/>
      <c r="B42" s="36"/>
      <c r="C42" s="36"/>
      <c r="D42" s="36"/>
      <c r="E42" s="36"/>
      <c r="F42" s="36"/>
      <c r="G42" s="36"/>
      <c r="H42" s="36"/>
    </row>
  </sheetData>
  <mergeCells count="3">
    <mergeCell ref="A1:H2"/>
    <mergeCell ref="A35:H35"/>
    <mergeCell ref="A36:H42"/>
  </mergeCells>
  <conditionalFormatting sqref="B28:M32">
    <cfRule type="expression" dxfId="5" priority="5">
      <formula>B28=3</formula>
    </cfRule>
    <cfRule type="expression" dxfId="4" priority="6">
      <formula>B28&lt;&gt;3</formula>
    </cfRule>
  </conditionalFormatting>
  <conditionalFormatting sqref="D5:D15">
    <cfRule type="expression" dxfId="3" priority="1">
      <formula>D5="PASS"</formula>
    </cfRule>
    <cfRule type="expression" dxfId="2" priority="2">
      <formula>D5&lt;&gt;"PASS"</formula>
    </cfRule>
  </conditionalFormatting>
  <conditionalFormatting sqref="G19:G23">
    <cfRule type="expression" dxfId="1" priority="3">
      <formula>G19="PASS"</formula>
    </cfRule>
    <cfRule type="expression" dxfId="0" priority="4">
      <formula>G19&lt;&gt;"PASS"</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9"/>
  <sheetViews>
    <sheetView workbookViewId="0">
      <selection sqref="A1:F2"/>
    </sheetView>
  </sheetViews>
  <sheetFormatPr defaultRowHeight="14.4" x14ac:dyDescent="0.3"/>
  <cols>
    <col min="1" max="1" width="14" customWidth="1"/>
    <col min="2" max="2" width="32" customWidth="1"/>
    <col min="3" max="6" width="34" customWidth="1"/>
  </cols>
  <sheetData>
    <row r="1" spans="1:6" ht="19.2" customHeight="1" x14ac:dyDescent="0.3">
      <c r="A1" s="35" t="s">
        <v>741</v>
      </c>
      <c r="B1" s="35"/>
      <c r="C1" s="35"/>
      <c r="D1" s="35"/>
      <c r="E1" s="35"/>
      <c r="F1" s="35"/>
    </row>
    <row r="2" spans="1:6" ht="19.2" customHeight="1" x14ac:dyDescent="0.3">
      <c r="A2" s="35"/>
      <c r="B2" s="35"/>
      <c r="C2" s="35"/>
      <c r="D2" s="35"/>
      <c r="E2" s="35"/>
      <c r="F2" s="35"/>
    </row>
    <row r="4" spans="1:6" x14ac:dyDescent="0.3">
      <c r="A4" s="14" t="s">
        <v>0</v>
      </c>
      <c r="B4" s="14" t="s">
        <v>1</v>
      </c>
      <c r="C4" s="14" t="s">
        <v>742</v>
      </c>
      <c r="D4" s="14" t="s">
        <v>743</v>
      </c>
      <c r="E4" s="14" t="s">
        <v>744</v>
      </c>
      <c r="F4" s="14" t="s">
        <v>745</v>
      </c>
    </row>
    <row r="5" spans="1:6" x14ac:dyDescent="0.3">
      <c r="A5" s="15" t="s">
        <v>200</v>
      </c>
      <c r="B5" s="15" t="s">
        <v>154</v>
      </c>
      <c r="C5" s="15" t="s">
        <v>9</v>
      </c>
      <c r="D5" s="15" t="s">
        <v>27</v>
      </c>
      <c r="E5" s="15" t="s">
        <v>39</v>
      </c>
      <c r="F5" s="15" t="s">
        <v>746</v>
      </c>
    </row>
    <row r="6" spans="1:6" x14ac:dyDescent="0.3">
      <c r="A6" s="15" t="s">
        <v>260</v>
      </c>
      <c r="B6" s="15" t="s">
        <v>154</v>
      </c>
      <c r="C6" s="15" t="s">
        <v>9</v>
      </c>
      <c r="D6" s="15" t="s">
        <v>21</v>
      </c>
      <c r="E6" s="15" t="s">
        <v>20</v>
      </c>
      <c r="F6" s="15" t="s">
        <v>746</v>
      </c>
    </row>
    <row r="7" spans="1:6" ht="28.8" x14ac:dyDescent="0.3">
      <c r="A7" s="15" t="s">
        <v>431</v>
      </c>
      <c r="B7" s="15" t="s">
        <v>374</v>
      </c>
      <c r="C7" s="15" t="s">
        <v>9</v>
      </c>
      <c r="D7" s="15" t="s">
        <v>747</v>
      </c>
      <c r="E7" s="15" t="s">
        <v>124</v>
      </c>
      <c r="F7" s="15" t="s">
        <v>748</v>
      </c>
    </row>
    <row r="8" spans="1:6" x14ac:dyDescent="0.3">
      <c r="A8" s="15" t="s">
        <v>540</v>
      </c>
      <c r="B8" s="15" t="s">
        <v>483</v>
      </c>
      <c r="C8" s="15" t="s">
        <v>9</v>
      </c>
      <c r="D8" s="15" t="s">
        <v>70</v>
      </c>
      <c r="E8" s="15" t="s">
        <v>48</v>
      </c>
      <c r="F8" s="15" t="s">
        <v>746</v>
      </c>
    </row>
    <row r="9" spans="1:6" x14ac:dyDescent="0.3">
      <c r="A9" s="15" t="s">
        <v>331</v>
      </c>
      <c r="B9" s="15" t="s">
        <v>264</v>
      </c>
      <c r="C9" s="15" t="s">
        <v>9</v>
      </c>
      <c r="D9" s="15" t="s">
        <v>21</v>
      </c>
      <c r="E9" s="15" t="s">
        <v>70</v>
      </c>
      <c r="F9" s="15" t="s">
        <v>746</v>
      </c>
    </row>
    <row r="10" spans="1:6" x14ac:dyDescent="0.3">
      <c r="A10" s="15" t="s">
        <v>358</v>
      </c>
      <c r="B10" s="15" t="s">
        <v>264</v>
      </c>
      <c r="C10" s="15" t="s">
        <v>9</v>
      </c>
      <c r="D10" s="15" t="s">
        <v>70</v>
      </c>
      <c r="E10" s="15" t="s">
        <v>34</v>
      </c>
      <c r="F10" s="15" t="s">
        <v>746</v>
      </c>
    </row>
    <row r="13" spans="1:6" x14ac:dyDescent="0.3">
      <c r="A13" s="29" t="s">
        <v>749</v>
      </c>
      <c r="B13" s="29"/>
      <c r="C13" s="29"/>
      <c r="D13" s="29"/>
      <c r="E13" s="29"/>
      <c r="F13" s="29"/>
    </row>
    <row r="14" spans="1:6" x14ac:dyDescent="0.3">
      <c r="A14" s="36" t="s">
        <v>750</v>
      </c>
      <c r="B14" s="36"/>
      <c r="C14" s="36"/>
      <c r="D14" s="36"/>
      <c r="E14" s="36"/>
      <c r="F14" s="36"/>
    </row>
    <row r="15" spans="1:6" x14ac:dyDescent="0.3">
      <c r="A15" s="36"/>
      <c r="B15" s="36"/>
      <c r="C15" s="36"/>
      <c r="D15" s="36"/>
      <c r="E15" s="36"/>
      <c r="F15" s="36"/>
    </row>
    <row r="16" spans="1:6" x14ac:dyDescent="0.3">
      <c r="A16" s="36"/>
      <c r="B16" s="36"/>
      <c r="C16" s="36"/>
      <c r="D16" s="36"/>
      <c r="E16" s="36"/>
      <c r="F16" s="36"/>
    </row>
    <row r="17" spans="1:6" x14ac:dyDescent="0.3">
      <c r="A17" s="36"/>
      <c r="B17" s="36"/>
      <c r="C17" s="36"/>
      <c r="D17" s="36"/>
      <c r="E17" s="36"/>
      <c r="F17" s="36"/>
    </row>
    <row r="18" spans="1:6" x14ac:dyDescent="0.3">
      <c r="A18" s="36"/>
      <c r="B18" s="36"/>
      <c r="C18" s="36"/>
      <c r="D18" s="36"/>
      <c r="E18" s="36"/>
      <c r="F18" s="36"/>
    </row>
    <row r="19" spans="1:6" x14ac:dyDescent="0.3">
      <c r="A19" s="36"/>
      <c r="B19" s="36"/>
      <c r="C19" s="36"/>
      <c r="D19" s="36"/>
      <c r="E19" s="36"/>
      <c r="F19" s="36"/>
    </row>
  </sheetData>
  <mergeCells count="3">
    <mergeCell ref="A1:F2"/>
    <mergeCell ref="A13:F13"/>
    <mergeCell ref="A14:F1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1"/>
  <sheetViews>
    <sheetView workbookViewId="0">
      <selection sqref="A1:F2"/>
    </sheetView>
  </sheetViews>
  <sheetFormatPr defaultRowHeight="14.4" x14ac:dyDescent="0.3"/>
  <cols>
    <col min="1" max="6" width="34" customWidth="1"/>
  </cols>
  <sheetData>
    <row r="1" spans="1:6" ht="19.2" customHeight="1" x14ac:dyDescent="0.3">
      <c r="A1" s="35" t="s">
        <v>751</v>
      </c>
      <c r="B1" s="35"/>
      <c r="C1" s="35"/>
      <c r="D1" s="35"/>
      <c r="E1" s="35"/>
      <c r="F1" s="35"/>
    </row>
    <row r="2" spans="1:6" ht="19.2" customHeight="1" x14ac:dyDescent="0.3">
      <c r="A2" s="35"/>
      <c r="B2" s="35"/>
      <c r="C2" s="35"/>
      <c r="D2" s="35"/>
      <c r="E2" s="35"/>
      <c r="F2" s="35"/>
    </row>
    <row r="4" spans="1:6" x14ac:dyDescent="0.3">
      <c r="A4" s="13" t="s">
        <v>752</v>
      </c>
      <c r="B4" s="13" t="s">
        <v>753</v>
      </c>
      <c r="D4" s="13" t="s">
        <v>754</v>
      </c>
      <c r="E4" s="13" t="s">
        <v>657</v>
      </c>
    </row>
    <row r="5" spans="1:6" x14ac:dyDescent="0.3">
      <c r="A5" t="s">
        <v>28</v>
      </c>
      <c r="B5" t="s">
        <v>616</v>
      </c>
      <c r="D5" t="s">
        <v>62</v>
      </c>
      <c r="E5" t="s">
        <v>641</v>
      </c>
    </row>
    <row r="6" spans="1:6" x14ac:dyDescent="0.3">
      <c r="A6" t="s">
        <v>60</v>
      </c>
      <c r="B6" t="s">
        <v>616</v>
      </c>
      <c r="D6" t="s">
        <v>35</v>
      </c>
      <c r="E6" t="s">
        <v>640</v>
      </c>
    </row>
    <row r="7" spans="1:6" x14ac:dyDescent="0.3">
      <c r="A7" t="s">
        <v>33</v>
      </c>
      <c r="B7" t="s">
        <v>617</v>
      </c>
      <c r="D7" t="s">
        <v>22</v>
      </c>
      <c r="E7" t="s">
        <v>640</v>
      </c>
    </row>
    <row r="8" spans="1:6" x14ac:dyDescent="0.3">
      <c r="A8" t="s">
        <v>70</v>
      </c>
      <c r="B8" t="s">
        <v>615</v>
      </c>
      <c r="D8" t="s">
        <v>93</v>
      </c>
      <c r="E8" t="s">
        <v>93</v>
      </c>
    </row>
    <row r="9" spans="1:6" x14ac:dyDescent="0.3">
      <c r="A9" t="s">
        <v>21</v>
      </c>
      <c r="B9" t="s">
        <v>615</v>
      </c>
      <c r="D9" t="s">
        <v>55</v>
      </c>
      <c r="E9" t="s">
        <v>640</v>
      </c>
    </row>
    <row r="10" spans="1:6" x14ac:dyDescent="0.3">
      <c r="A10" t="s">
        <v>101</v>
      </c>
      <c r="B10" t="s">
        <v>617</v>
      </c>
      <c r="D10" t="s">
        <v>66</v>
      </c>
      <c r="E10" t="s">
        <v>641</v>
      </c>
    </row>
    <row r="11" spans="1:6" x14ac:dyDescent="0.3">
      <c r="A11" t="s">
        <v>48</v>
      </c>
      <c r="B11" t="s">
        <v>615</v>
      </c>
      <c r="D11" t="s">
        <v>29</v>
      </c>
      <c r="E11" t="s">
        <v>642</v>
      </c>
    </row>
    <row r="12" spans="1:6" x14ac:dyDescent="0.3">
      <c r="A12" t="s">
        <v>34</v>
      </c>
      <c r="B12" t="s">
        <v>615</v>
      </c>
      <c r="D12" t="s">
        <v>43</v>
      </c>
      <c r="E12" t="s">
        <v>640</v>
      </c>
    </row>
    <row r="13" spans="1:6" x14ac:dyDescent="0.3">
      <c r="A13" t="s">
        <v>124</v>
      </c>
      <c r="B13" t="s">
        <v>615</v>
      </c>
    </row>
    <row r="14" spans="1:6" x14ac:dyDescent="0.3">
      <c r="A14" t="s">
        <v>97</v>
      </c>
      <c r="B14" t="s">
        <v>97</v>
      </c>
    </row>
    <row r="15" spans="1:6" x14ac:dyDescent="0.3">
      <c r="A15" t="s">
        <v>27</v>
      </c>
      <c r="B15" t="s">
        <v>650</v>
      </c>
    </row>
    <row r="16" spans="1:6" x14ac:dyDescent="0.3">
      <c r="A16" t="s">
        <v>39</v>
      </c>
      <c r="B16" t="s">
        <v>39</v>
      </c>
    </row>
    <row r="17" spans="1:6" x14ac:dyDescent="0.3">
      <c r="A17" t="s">
        <v>120</v>
      </c>
      <c r="B17" t="s">
        <v>616</v>
      </c>
    </row>
    <row r="18" spans="1:6" x14ac:dyDescent="0.3">
      <c r="A18" t="s">
        <v>162</v>
      </c>
      <c r="B18" t="s">
        <v>615</v>
      </c>
    </row>
    <row r="19" spans="1:6" x14ac:dyDescent="0.3">
      <c r="A19" t="s">
        <v>20</v>
      </c>
      <c r="B19" t="s">
        <v>615</v>
      </c>
    </row>
    <row r="20" spans="1:6" x14ac:dyDescent="0.3">
      <c r="A20" t="s">
        <v>61</v>
      </c>
      <c r="B20" t="s">
        <v>615</v>
      </c>
    </row>
    <row r="23" spans="1:6" x14ac:dyDescent="0.3">
      <c r="A23" s="29" t="s">
        <v>755</v>
      </c>
      <c r="B23" s="29"/>
      <c r="C23" s="29"/>
      <c r="D23" s="29"/>
      <c r="E23" s="29"/>
      <c r="F23" s="29"/>
    </row>
    <row r="24" spans="1:6" x14ac:dyDescent="0.3">
      <c r="A24" s="38" t="s">
        <v>756</v>
      </c>
      <c r="B24" s="38"/>
      <c r="C24" s="38"/>
      <c r="D24" s="38"/>
      <c r="E24" s="38"/>
      <c r="F24" s="38"/>
    </row>
    <row r="25" spans="1:6" x14ac:dyDescent="0.3">
      <c r="A25" s="38"/>
      <c r="B25" s="38"/>
      <c r="C25" s="38"/>
      <c r="D25" s="38"/>
      <c r="E25" s="38"/>
      <c r="F25" s="38"/>
    </row>
    <row r="26" spans="1:6" x14ac:dyDescent="0.3">
      <c r="A26" s="38"/>
      <c r="B26" s="38"/>
      <c r="C26" s="38"/>
      <c r="D26" s="38"/>
      <c r="E26" s="38"/>
      <c r="F26" s="38"/>
    </row>
    <row r="27" spans="1:6" x14ac:dyDescent="0.3">
      <c r="A27" s="38"/>
      <c r="B27" s="38"/>
      <c r="C27" s="38"/>
      <c r="D27" s="38"/>
      <c r="E27" s="38"/>
      <c r="F27" s="38"/>
    </row>
    <row r="28" spans="1:6" x14ac:dyDescent="0.3">
      <c r="A28" s="38"/>
      <c r="B28" s="38"/>
      <c r="C28" s="38"/>
      <c r="D28" s="38"/>
      <c r="E28" s="38"/>
      <c r="F28" s="38"/>
    </row>
    <row r="29" spans="1:6" x14ac:dyDescent="0.3">
      <c r="A29" s="38"/>
      <c r="B29" s="38"/>
      <c r="C29" s="38"/>
      <c r="D29" s="38"/>
      <c r="E29" s="38"/>
      <c r="F29" s="38"/>
    </row>
    <row r="30" spans="1:6" x14ac:dyDescent="0.3">
      <c r="A30" s="38"/>
      <c r="B30" s="38"/>
      <c r="C30" s="38"/>
      <c r="D30" s="38"/>
      <c r="E30" s="38"/>
      <c r="F30" s="38"/>
    </row>
    <row r="31" spans="1:6" x14ac:dyDescent="0.3">
      <c r="A31" s="38"/>
      <c r="B31" s="38"/>
      <c r="C31" s="38"/>
      <c r="D31" s="38"/>
      <c r="E31" s="38"/>
      <c r="F31" s="38"/>
    </row>
  </sheetData>
  <mergeCells count="3">
    <mergeCell ref="A1:F2"/>
    <mergeCell ref="A23:F23"/>
    <mergeCell ref="A24:F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 Data</vt:lpstr>
      <vt:lpstr>Lists</vt:lpstr>
      <vt:lpstr>Analysis Data</vt:lpstr>
      <vt:lpstr>Dashboard</vt:lpstr>
      <vt:lpstr>Primary Themes</vt:lpstr>
      <vt:lpstr>Secondary Themes</vt:lpstr>
      <vt:lpstr>Marketing Approaches</vt:lpstr>
      <vt:lpstr>Format and CTA</vt:lpstr>
      <vt:lpstr>Monthly Patterns</vt:lpstr>
      <vt:lpstr>Institutional Profiles</vt:lpstr>
      <vt:lpstr>Account Snapshot</vt:lpstr>
      <vt:lpstr>Data Audit</vt:lpstr>
      <vt:lpstr>Revision Audit</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Xheni Doksani</cp:lastModifiedBy>
  <dcterms:modified xsi:type="dcterms:W3CDTF">2026-08-06T00:33:13Z</dcterms:modified>
</cp:coreProperties>
</file>